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Hoja3" sheetId="2" r:id="rId2"/>
    <sheet name="COSTO INFRA" sheetId="3" r:id="rId3"/>
    <sheet name="COSTO EQUIPAMIENTO" sheetId="4" r:id="rId4"/>
    <sheet name="CONSOLIDADO" sheetId="5" r:id="rId5"/>
  </sheets>
  <definedNames>
    <definedName name="_xlnm._FilterDatabase" localSheetId="0" hidden="1">DATA!$B$2:$B$27</definedName>
    <definedName name="_xlnm.Print_Area" localSheetId="3">'COSTO EQUIPAMIENTO'!$A$2:$F$97</definedName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'[8]POB07'!$A$10:$F$2062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'[9]EP1'!$A$10:$AM$229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'[8]POB07'!$A$10:$F$2062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'[11]EP1'!$A$10:$AM$229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'[16]POB07'!$A$10:$F$2062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'[17]EP1'!$A$10:$AM$229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'[26]P2'!#REF!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'[27]P2'!#REF!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'[27]P3'!#REF!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'[27]P1'!#REF!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'[33]POB07'!$A$10:$F$2062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'[26]P3'!$T$18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_MI">[88]civ_roma!$C$9:$G$799</definedName>
    <definedName name="Date">[57]Constants!$B$9</definedName>
    <definedName name="DATO">'[93]datos base'!$B$7:$M$12</definedName>
    <definedName name="Dato17">'[94]C17_Gra01'!$A$2:$C$10</definedName>
    <definedName name="Dato5">'[95]C05_Ges03'!$A$2:$E$26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'[170]P9'!#REF!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'[175]F9'!$H$31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'[177]p1'!$D$39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OST_SHEETS." localSheetId="4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76" formatCode="_-* #,##0.00_-;\-* #,##0.00_-;_-* &quot;-&quot;??_-;_-@_-"/>
    <numFmt numFmtId="177" formatCode="_ * #,##0_ ;_ * \-#,##0_ ;_ * &quot;-&quot;_ ;_ @_ "/>
    <numFmt numFmtId="178" formatCode="_ * #,##0.00_ ;_ * \-#,##0.00_ ;_ * &quot;-&quot;??_ ;_ @_ "/>
    <numFmt numFmtId="179" formatCode="0.0"/>
    <numFmt numFmtId="180" formatCode="_(* #,##0_);_(* \(#,##0\);_(* &quot;-&quot;??_);_(@_)"/>
    <numFmt numFmtId="181" formatCode="0.000"/>
    <numFmt numFmtId="182" formatCode="_-&quot;S/&quot;\ * #,##0_-;\-&quot;S/&quot;\ * #,##0_-;_-&quot;S/&quot;\ * &quot;-&quot;??_-;_-@_-"/>
    <numFmt numFmtId="183" formatCode="&quot;S/&quot;\ 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L79"/>
  <sheetViews>
    <sheetView workbookViewId="0" rightToLeft="0"/>
  </sheetViews>
  <sheetData>
    <row r="2">
      <c r="B2" t="str">
        <v>Ambiente</v>
      </c>
      <c r="C2" t="str">
        <v>Muros y columnas</v>
      </c>
      <c r="D2" t="str">
        <v>Techos</v>
      </c>
      <c r="E2" t="str">
        <v>Pisos</v>
      </c>
      <c r="F2" t="str">
        <v>Puertas y ventanas</v>
      </c>
      <c r="G2" t="str">
        <v>Revestimientos</v>
      </c>
      <c r="H2" t="str">
        <v>Baños</v>
      </c>
      <c r="I2" t="str">
        <v>Instalaciones eléctricas y sanitarias</v>
      </c>
      <c r="J2" t="str">
        <v>Metros cuadrados</v>
      </c>
      <c r="K2" t="str">
        <v>Costo parcial</v>
      </c>
    </row>
    <row r="3">
      <c r="B3" t="str">
        <v>AULAS CICLO I</v>
      </c>
      <c r="C3">
        <v>1</v>
      </c>
      <c r="D3">
        <v>1</v>
      </c>
      <c r="E3">
        <v>1</v>
      </c>
      <c r="F3">
        <v>1</v>
      </c>
      <c r="G3">
        <v>1</v>
      </c>
      <c r="H3">
        <v>0</v>
      </c>
      <c r="I3">
        <v>1</v>
      </c>
      <c r="J3">
        <f>CONSOLIDADO!F64</f>
        <v>120</v>
      </c>
      <c r="K3">
        <f>J3*SUMPRODUCT(C3:I3,$C$33:$I$33)</f>
        <v>204055.2</v>
      </c>
    </row>
    <row r="4">
      <c r="B4" t="str">
        <v>AULAS CICLO II</v>
      </c>
      <c r="C4">
        <v>1</v>
      </c>
      <c r="D4">
        <v>1</v>
      </c>
      <c r="E4">
        <v>1</v>
      </c>
      <c r="F4">
        <v>1</v>
      </c>
      <c r="G4">
        <v>1</v>
      </c>
      <c r="H4">
        <v>0</v>
      </c>
      <c r="I4">
        <v>1</v>
      </c>
      <c r="J4">
        <f>CONSOLIDADO!F65</f>
        <v>240</v>
      </c>
      <c r="K4">
        <f>J4*SUMPRODUCT(C4:I4,$C$33:$I$33)</f>
        <v>408110.4</v>
      </c>
    </row>
    <row r="5">
      <c r="B5" t="str">
        <v>AULA PSICOMOTRICIDAD</v>
      </c>
      <c r="C5">
        <v>1</v>
      </c>
      <c r="D5">
        <v>1</v>
      </c>
      <c r="E5">
        <v>1</v>
      </c>
      <c r="F5">
        <v>1</v>
      </c>
      <c r="G5">
        <v>1</v>
      </c>
      <c r="H5">
        <v>0</v>
      </c>
      <c r="I5">
        <v>1</v>
      </c>
      <c r="J5">
        <f>CONSOLIDADO!F66</f>
        <v>50</v>
      </c>
      <c r="K5">
        <f>J5*SUMPRODUCT(C5:I5,$C$33:$I$33)</f>
        <v>85023</v>
      </c>
    </row>
    <row r="6">
      <c r="B6" t="str">
        <v>AULAS PRIMARIA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f>CONSOLIDADO!F67</f>
        <v>480</v>
      </c>
      <c r="K6">
        <f>J6*SUMPRODUCT(C6:I6,$C$33:$I$33)</f>
        <v>816220.8</v>
      </c>
    </row>
    <row r="7">
      <c r="B7" t="str">
        <v>AULAS SECUNDARIA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1</v>
      </c>
      <c r="J7">
        <f>CONSOLIDADO!F68</f>
        <v>600</v>
      </c>
      <c r="K7">
        <f>J7*SUMPRODUCT(C7:I7,$C$33:$I$33)</f>
        <v>1020276</v>
      </c>
    </row>
    <row r="8">
      <c r="B8" t="str">
        <v>BIBLIOTECA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1</v>
      </c>
      <c r="J8">
        <f>CONSOLIDADO!F70</f>
        <v>93.75</v>
      </c>
      <c r="K8">
        <f>J8*SUMPRODUCT(C8:I8,$C$33:$I$33)</f>
        <v>159418.125</v>
      </c>
    </row>
    <row r="9">
      <c r="B9" t="str">
        <v>INNOVACION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1</v>
      </c>
      <c r="J9">
        <f>CONSOLIDADO!F71</f>
        <v>270</v>
      </c>
      <c r="K9">
        <f>J9*SUMPRODUCT(C9:I9,$C$33:$I$33)</f>
        <v>459124.2</v>
      </c>
    </row>
    <row r="10">
      <c r="B10" t="str">
        <v>TALLER CREATIVO</v>
      </c>
      <c r="C10">
        <v>1</v>
      </c>
      <c r="D10">
        <v>1</v>
      </c>
      <c r="E10">
        <v>1</v>
      </c>
      <c r="F10">
        <v>1</v>
      </c>
      <c r="G10">
        <v>1</v>
      </c>
      <c r="H10">
        <v>0</v>
      </c>
      <c r="I10">
        <v>1</v>
      </c>
      <c r="J10">
        <f>CONSOLIDADO!F72</f>
        <v>180</v>
      </c>
      <c r="K10">
        <f>J10*SUMPRODUCT(C10:I10,$C$33:$I$33)</f>
        <v>306082.8</v>
      </c>
    </row>
    <row r="11">
      <c r="B11" t="str">
        <v>TALLER EPT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1</v>
      </c>
      <c r="J11">
        <f>CONSOLIDADO!F73</f>
        <v>105</v>
      </c>
      <c r="K11">
        <f>J11*SUMPRODUCT(C11:I11,$C$33:$I$33)</f>
        <v>178548.3</v>
      </c>
    </row>
    <row r="12">
      <c r="B12" t="str">
        <v>LABORATORIO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f>CONSOLIDADO!F74</f>
        <v>90</v>
      </c>
      <c r="K12">
        <f>J12*SUMPRODUCT(C12:I12,$C$33:$I$33)</f>
        <v>153041.4</v>
      </c>
    </row>
    <row r="13">
      <c r="B13" t="str">
        <v>SALA DE USOS MULTIPLES</v>
      </c>
      <c r="C13">
        <v>1</v>
      </c>
      <c r="D13">
        <v>1</v>
      </c>
      <c r="E13">
        <v>1</v>
      </c>
      <c r="F13">
        <v>1</v>
      </c>
      <c r="G13">
        <v>1</v>
      </c>
      <c r="H13">
        <v>0</v>
      </c>
      <c r="I13">
        <v>1</v>
      </c>
      <c r="J13">
        <f>CONSOLIDADO!F75</f>
        <v>300</v>
      </c>
      <c r="K13">
        <f>J13*SUMPRODUCT(C13:I13,$C$33:$I$33)</f>
        <v>510138</v>
      </c>
    </row>
    <row r="14">
      <c r="B14" t="str">
        <v>DIRECCIÓN ADM.</v>
      </c>
      <c r="C14">
        <v>1</v>
      </c>
      <c r="D14">
        <v>1</v>
      </c>
      <c r="E14">
        <v>1</v>
      </c>
      <c r="F14">
        <v>1</v>
      </c>
      <c r="G14">
        <v>1</v>
      </c>
      <c r="H14">
        <v>0</v>
      </c>
      <c r="I14">
        <v>1</v>
      </c>
      <c r="J14">
        <f>CONSOLIDADO!F76</f>
        <v>45.5</v>
      </c>
      <c r="K14">
        <f>J14*SUMPRODUCT(C14:I14,$C$33:$I$33)</f>
        <v>77370.93</v>
      </c>
    </row>
    <row r="15">
      <c r="B15" t="str">
        <v>SALA DE REUNIONES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  <c r="I15">
        <v>1</v>
      </c>
      <c r="J15">
        <f>CONSOLIDADO!F77</f>
        <v>42</v>
      </c>
      <c r="K15">
        <f>J15*SUMPRODUCT(C15:I15,$C$33:$I$33)</f>
        <v>71419.32</v>
      </c>
    </row>
    <row r="16">
      <c r="B16" t="str">
        <v>SALA DE PROFESORES</v>
      </c>
      <c r="C16">
        <v>1</v>
      </c>
      <c r="D16">
        <v>1</v>
      </c>
      <c r="E16">
        <v>1</v>
      </c>
      <c r="F16">
        <v>1</v>
      </c>
      <c r="G16">
        <v>1</v>
      </c>
      <c r="H16">
        <v>0</v>
      </c>
      <c r="I16">
        <v>1</v>
      </c>
      <c r="J16">
        <f>CONSOLIDADO!F78</f>
        <v>80.5</v>
      </c>
      <c r="K16">
        <f>J16*SUMPRODUCT(C16:I16,$C$33:$I$33)</f>
        <v>136887.03</v>
      </c>
    </row>
    <row r="17">
      <c r="B17" t="str">
        <v>SSHH ADM.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f>CONSOLIDADO!F79</f>
        <v>27</v>
      </c>
      <c r="K17">
        <f>J17*SUMPRODUCT(C17:I17,$C$33:$I$33)</f>
        <v>48349.17</v>
      </c>
    </row>
    <row r="18">
      <c r="B18" t="str">
        <v>COCINA PRIM SEC</v>
      </c>
      <c r="C18">
        <v>1</v>
      </c>
      <c r="D18">
        <v>1</v>
      </c>
      <c r="E18">
        <v>1</v>
      </c>
      <c r="F18">
        <v>1</v>
      </c>
      <c r="G18">
        <v>1</v>
      </c>
      <c r="H18">
        <v>0</v>
      </c>
      <c r="I18">
        <v>1</v>
      </c>
      <c r="J18">
        <f>CONSOLIDADO!F80</f>
        <v>33.3</v>
      </c>
      <c r="K18">
        <f>J18*SUMPRODUCT(C18:I18,$C$33:$I$33)</f>
        <v>56625.318</v>
      </c>
    </row>
    <row r="19">
      <c r="B19" t="str">
        <v>SSHH COCINA PRIM SEC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f>CONSOLIDADO!F81</f>
        <v>5</v>
      </c>
      <c r="K19">
        <f>J19*SUMPRODUCT(C19:I19,$C$33:$I$33)</f>
        <v>8953.55</v>
      </c>
    </row>
    <row r="20">
      <c r="B20" t="str">
        <v>COCINA INICIAL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14.2</v>
      </c>
      <c r="K20">
        <f>J20*SUMPRODUCT(C20:I20,$C$33:$I$33)</f>
        <v>24146.532</v>
      </c>
    </row>
    <row r="21">
      <c r="B21" t="str">
        <v>SSHH COCINA INICIAL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5</v>
      </c>
      <c r="K21">
        <f>J21*SUMPRODUCT(C21:I21,$C$33:$I$33)</f>
        <v>8953.55</v>
      </c>
    </row>
    <row r="22">
      <c r="B22" t="str">
        <v>DEPOSITOS*</v>
      </c>
      <c r="C22">
        <v>1</v>
      </c>
      <c r="D22">
        <v>1</v>
      </c>
      <c r="E22">
        <v>1</v>
      </c>
      <c r="F22">
        <v>1</v>
      </c>
      <c r="G22">
        <v>1</v>
      </c>
      <c r="H22">
        <v>0</v>
      </c>
      <c r="I22">
        <v>1</v>
      </c>
      <c r="J22">
        <f>CONSOLIDADO!F82</f>
        <v>112.5</v>
      </c>
      <c r="K22">
        <f>J22*SUMPRODUCT(C22:I22,$C$33:$I$33)</f>
        <v>191301.75</v>
      </c>
    </row>
    <row r="23">
      <c r="B23" t="str">
        <v>CANCHAS DEPORTIVAS**</v>
      </c>
      <c r="C23">
        <v>0</v>
      </c>
      <c r="D23">
        <v>0</v>
      </c>
      <c r="E23">
        <v>1</v>
      </c>
      <c r="F23">
        <v>0</v>
      </c>
      <c r="G23">
        <v>1</v>
      </c>
      <c r="H23">
        <v>0</v>
      </c>
      <c r="I23">
        <v>1</v>
      </c>
      <c r="J23">
        <f>CONSOLIDADO!F83</f>
        <v>840</v>
      </c>
      <c r="K23">
        <f>J23*SUMPRODUCT(C23:I23,$C$33:$I$33)</f>
        <v>646287.6</v>
      </c>
    </row>
    <row r="24">
      <c r="B24" t="str">
        <v>QUIOSCO</v>
      </c>
      <c r="C24">
        <v>1</v>
      </c>
      <c r="D24">
        <v>1</v>
      </c>
      <c r="E24">
        <v>1</v>
      </c>
      <c r="F24">
        <v>1</v>
      </c>
      <c r="G24">
        <v>1</v>
      </c>
      <c r="H24">
        <v>0</v>
      </c>
      <c r="I24">
        <v>1</v>
      </c>
      <c r="J24">
        <f>CONSOLIDADO!F84</f>
        <v>5.32</v>
      </c>
      <c r="K24">
        <f>J24*SUMPRODUCT(C24:I24,$C$33:$I$33)</f>
        <v>9046.4472</v>
      </c>
    </row>
    <row r="25">
      <c r="B25" t="str">
        <v>TOPICO</v>
      </c>
      <c r="C25">
        <v>1</v>
      </c>
      <c r="D25">
        <v>1</v>
      </c>
      <c r="E25">
        <v>1</v>
      </c>
      <c r="F25">
        <v>1</v>
      </c>
      <c r="G25">
        <v>1</v>
      </c>
      <c r="H25">
        <v>0</v>
      </c>
      <c r="I25">
        <v>1</v>
      </c>
      <c r="J25">
        <f>CONSOLIDADO!F85</f>
        <v>9</v>
      </c>
      <c r="K25">
        <f>J25*SUMPRODUCT(C25:I25,$C$33:$I$33)</f>
        <v>15304.14</v>
      </c>
    </row>
    <row r="26">
      <c r="B26" t="str">
        <v>ESCALERAS</v>
      </c>
    </row>
    <row r="27">
      <c r="B27" t="str">
        <v>LACTARIO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1</v>
      </c>
      <c r="J27">
        <f>CONSOLIDADO!F86</f>
        <v>7.5</v>
      </c>
      <c r="K27">
        <f>J27*SUMPRODUCT(C27:I27,$C$33:$I$33)</f>
        <v>12753.45</v>
      </c>
    </row>
    <row r="31">
      <c r="B31" t="str">
        <v>CATEGORIA</v>
      </c>
      <c r="C31" t="str">
        <v>Muros y columnas</v>
      </c>
      <c r="D31" t="str">
        <v>Techos</v>
      </c>
      <c r="E31" t="str">
        <v>Pisos</v>
      </c>
      <c r="F31" t="str">
        <v>Puertas y ventanas</v>
      </c>
      <c r="G31" t="str">
        <v>Revestimientos</v>
      </c>
      <c r="H31" t="str">
        <v>Baños</v>
      </c>
      <c r="I31" t="str">
        <v>Instalaciones eléctricas y sanitarias</v>
      </c>
    </row>
    <row r="32">
      <c r="B32" t="str">
        <v>A</v>
      </c>
      <c r="C32">
        <v>766.22</v>
      </c>
      <c r="D32">
        <v>371.93</v>
      </c>
      <c r="E32">
        <v>263.91</v>
      </c>
      <c r="F32">
        <v>282.31</v>
      </c>
      <c r="G32">
        <v>356.24</v>
      </c>
      <c r="H32">
        <v>126.35</v>
      </c>
      <c r="I32">
        <v>450.22</v>
      </c>
    </row>
    <row r="33">
      <c r="B33" t="str">
        <v>B</v>
      </c>
      <c r="C33">
        <v>425.55</v>
      </c>
      <c r="D33">
        <v>255.7</v>
      </c>
      <c r="E33">
        <v>220.06</v>
      </c>
      <c r="F33">
        <v>249.82</v>
      </c>
      <c r="G33">
        <v>284.52</v>
      </c>
      <c r="H33">
        <v>90.25</v>
      </c>
      <c r="I33">
        <v>264.81</v>
      </c>
    </row>
    <row r="34">
      <c r="B34" t="str">
        <v>C</v>
      </c>
      <c r="C34">
        <v>308.75</v>
      </c>
      <c r="D34">
        <v>178.93</v>
      </c>
      <c r="E34">
        <v>142.39</v>
      </c>
      <c r="F34">
        <v>182.27</v>
      </c>
      <c r="G34">
        <v>235.49</v>
      </c>
      <c r="H34">
        <v>58.93</v>
      </c>
      <c r="I34">
        <v>197.04</v>
      </c>
    </row>
    <row r="35">
      <c r="B35" t="str">
        <v>D</v>
      </c>
      <c r="C35">
        <v>285.18</v>
      </c>
      <c r="D35">
        <v>135.42</v>
      </c>
      <c r="E35">
        <v>116.76</v>
      </c>
      <c r="F35">
        <v>106.9</v>
      </c>
      <c r="G35">
        <v>180.13</v>
      </c>
      <c r="H35">
        <v>36.06</v>
      </c>
      <c r="I35">
        <v>111.65</v>
      </c>
    </row>
    <row r="36">
      <c r="B36" t="str">
        <v>E</v>
      </c>
      <c r="C36">
        <v>223.88</v>
      </c>
      <c r="D36">
        <v>55.61</v>
      </c>
      <c r="E36">
        <v>96.56</v>
      </c>
      <c r="F36">
        <v>81.67</v>
      </c>
      <c r="G36">
        <v>149.86</v>
      </c>
      <c r="H36">
        <v>17.67</v>
      </c>
      <c r="I36">
        <v>62.13</v>
      </c>
    </row>
    <row r="37">
      <c r="B37" t="str">
        <v>F</v>
      </c>
      <c r="C37">
        <v>139.6</v>
      </c>
      <c r="D37">
        <v>44.43</v>
      </c>
      <c r="E37">
        <v>78.87</v>
      </c>
      <c r="F37">
        <v>63.15</v>
      </c>
      <c r="G37">
        <v>89.35</v>
      </c>
      <c r="H37">
        <v>15.02</v>
      </c>
      <c r="I37">
        <v>40.38</v>
      </c>
    </row>
    <row r="38">
      <c r="B38" t="str">
        <v>G</v>
      </c>
      <c r="C38">
        <v>82.25</v>
      </c>
      <c r="D38">
        <v>0</v>
      </c>
      <c r="E38">
        <v>58.99</v>
      </c>
      <c r="F38">
        <v>37.21</v>
      </c>
      <c r="G38">
        <v>66.38</v>
      </c>
      <c r="H38">
        <v>10.32</v>
      </c>
      <c r="I38">
        <v>23.79</v>
      </c>
    </row>
    <row r="39">
      <c r="B39" t="str">
        <v>H</v>
      </c>
      <c r="C39">
        <v>0</v>
      </c>
      <c r="D39">
        <v>0</v>
      </c>
      <c r="E39">
        <v>31.87</v>
      </c>
      <c r="F39">
        <v>18.6</v>
      </c>
      <c r="G39">
        <v>26.55</v>
      </c>
      <c r="H39">
        <v>0</v>
      </c>
      <c r="I39">
        <v>0</v>
      </c>
    </row>
    <row r="40">
      <c r="B40" t="str">
        <v>I</v>
      </c>
      <c r="C40">
        <v>0</v>
      </c>
      <c r="D40">
        <v>0</v>
      </c>
      <c r="E40">
        <v>7.01</v>
      </c>
      <c r="F40">
        <v>0</v>
      </c>
      <c r="G40">
        <v>0</v>
      </c>
      <c r="H40">
        <v>0</v>
      </c>
      <c r="I40">
        <v>0</v>
      </c>
    </row>
    <row r="42">
      <c r="C42" t="str">
        <v>Muros y columnas</v>
      </c>
      <c r="D42" t="str">
        <v>Techos</v>
      </c>
      <c r="E42" t="str">
        <v>Pisos</v>
      </c>
      <c r="F42" t="str">
        <v>Puertas y ventanas</v>
      </c>
      <c r="G42" t="str">
        <v>Revestimientos</v>
      </c>
      <c r="H42" t="str">
        <v>Baños</v>
      </c>
      <c r="I42" t="str">
        <v>Ins. eléctricas y sanitarias</v>
      </c>
    </row>
    <row r="43">
      <c r="B43" t="str">
        <v>CATEGORIA</v>
      </c>
      <c r="C43" t="str">
        <v>A</v>
      </c>
      <c r="D43" t="str">
        <v>A</v>
      </c>
      <c r="E43" t="str">
        <v>A</v>
      </c>
      <c r="F43" t="str">
        <v>A</v>
      </c>
      <c r="G43" t="str">
        <v>A</v>
      </c>
      <c r="H43" t="str">
        <v>A</v>
      </c>
      <c r="I43" t="str">
        <v>A</v>
      </c>
    </row>
    <row r="45">
      <c r="C45">
        <f>VLOOKUP(C43,$B$32:$I$40,2,FALSE)</f>
        <v>766.22</v>
      </c>
      <c r="D45">
        <f>VLOOKUP(D43,$B$32:$I$40,3,FALSE)</f>
        <v>371.93</v>
      </c>
      <c r="E45">
        <f>VLOOKUP(E43,$B$32:$I$40,4,FALSE)</f>
        <v>263.91</v>
      </c>
      <c r="F45">
        <f>VLOOKUP(F43,$B$32:$I$40,5,FALSE)</f>
        <v>282.31</v>
      </c>
      <c r="G45">
        <f>VLOOKUP(G43,$B$32:$I$40,6,FALSE)</f>
        <v>356.24</v>
      </c>
      <c r="H45">
        <f>VLOOKUP(H43,$B$32:$I$40,7,FALSE)</f>
        <v>126.35</v>
      </c>
      <c r="I45">
        <f>VLOOKUP(I43,$B$32:$I$40,8,FALSE)</f>
        <v>450.22</v>
      </c>
      <c r="L45">
        <f>SUM(C45:I45)</f>
        <v>2617.18</v>
      </c>
    </row>
    <row r="49">
      <c r="B49" t="str">
        <v>SE USA PARA PERIMETRO DEL TERRENO</v>
      </c>
    </row>
    <row r="50">
      <c r="B50" t="str">
        <v>ANCHO</v>
      </c>
      <c r="C50" t="str">
        <v>LARGO</v>
      </c>
    </row>
    <row r="51">
      <c r="B51">
        <v>75</v>
      </c>
      <c r="C51">
        <v>78</v>
      </c>
    </row>
    <row r="54">
      <c r="B54" t="str">
        <v>TIPO DE AULA</v>
      </c>
      <c r="C54" t="str">
        <v>CANTIDAD</v>
      </c>
      <c r="D54" t="str">
        <v>Unitario</v>
      </c>
      <c r="E54" t="str">
        <v>ALUMNOS</v>
      </c>
    </row>
    <row r="55">
      <c r="B55" t="str">
        <f>B3</f>
        <v>AULAS CICLO I</v>
      </c>
      <c r="C55">
        <v>0</v>
      </c>
      <c r="D55">
        <v>0</v>
      </c>
      <c r="E55">
        <f>C55*D55</f>
        <v>0</v>
      </c>
    </row>
    <row r="56">
      <c r="B56" t="str">
        <f>B4</f>
        <v>AULAS CICLO II</v>
      </c>
      <c r="C56">
        <v>3</v>
      </c>
      <c r="D56">
        <v>25</v>
      </c>
      <c r="E56">
        <f>C56*D56</f>
        <v>75</v>
      </c>
    </row>
    <row r="57">
      <c r="B57" t="str">
        <f>B5</f>
        <v>AULA PSICOMOTRICIDAD</v>
      </c>
      <c r="C57">
        <v>0</v>
      </c>
      <c r="D57">
        <v>0</v>
      </c>
      <c r="E57">
        <f>C57*D57</f>
        <v>0</v>
      </c>
    </row>
    <row r="58">
      <c r="B58" t="str">
        <f>B6</f>
        <v>AULAS PRIMARIA</v>
      </c>
      <c r="C58">
        <v>8</v>
      </c>
      <c r="D58">
        <v>30</v>
      </c>
      <c r="E58">
        <f>C58*D58</f>
        <v>240</v>
      </c>
    </row>
    <row r="59">
      <c r="B59" t="str">
        <f>B7</f>
        <v>AULAS SECUNDARIA</v>
      </c>
      <c r="C59">
        <v>10</v>
      </c>
      <c r="D59">
        <v>30</v>
      </c>
      <c r="E59">
        <f>C59*D59</f>
        <v>300</v>
      </c>
    </row>
    <row r="60">
      <c r="B60" t="str">
        <f>B8</f>
        <v>BIBLIOTECA</v>
      </c>
      <c r="C60">
        <v>1</v>
      </c>
      <c r="E60">
        <f>C60*D60</f>
        <v>0</v>
      </c>
    </row>
    <row r="61">
      <c r="B61" t="str">
        <f>B9</f>
        <v>INNOVACION</v>
      </c>
      <c r="C61">
        <v>3</v>
      </c>
      <c r="D61">
        <v>30</v>
      </c>
      <c r="E61">
        <f>C61*D61</f>
        <v>90</v>
      </c>
    </row>
    <row r="62">
      <c r="B62" t="str">
        <f>B10</f>
        <v>TALLER CREATIVO</v>
      </c>
      <c r="C62">
        <v>2</v>
      </c>
      <c r="D62">
        <v>30</v>
      </c>
      <c r="E62">
        <f>C62*D62</f>
        <v>60</v>
      </c>
    </row>
    <row r="63">
      <c r="B63" t="str">
        <f>B11</f>
        <v>TALLER EPT</v>
      </c>
      <c r="C63">
        <v>1</v>
      </c>
      <c r="D63">
        <v>30</v>
      </c>
      <c r="E63">
        <f>C63*D63</f>
        <v>30</v>
      </c>
    </row>
    <row r="64">
      <c r="B64" t="str">
        <f>B12</f>
        <v>LABORATORIO</v>
      </c>
      <c r="C64">
        <v>1</v>
      </c>
      <c r="D64">
        <v>30</v>
      </c>
      <c r="E64">
        <f>C64*D64</f>
        <v>30</v>
      </c>
    </row>
    <row r="65">
      <c r="B65" t="str">
        <f>B13</f>
        <v>SALA DE USOS MULTIPLES</v>
      </c>
      <c r="C65">
        <v>1</v>
      </c>
      <c r="D65">
        <v>300</v>
      </c>
      <c r="E65">
        <f>C65*D65</f>
        <v>300</v>
      </c>
    </row>
    <row r="66">
      <c r="B66" t="str">
        <f>B14</f>
        <v>DIRECCIÓN ADM.</v>
      </c>
      <c r="C66">
        <v>1</v>
      </c>
    </row>
    <row r="67">
      <c r="B67" t="str">
        <f>B15</f>
        <v>SALA DE REUNIONES</v>
      </c>
      <c r="C67">
        <v>1</v>
      </c>
    </row>
    <row r="68">
      <c r="B68" t="str">
        <f>B16</f>
        <v>SALA DE PROFESORES</v>
      </c>
      <c r="C68">
        <v>1</v>
      </c>
    </row>
    <row r="69">
      <c r="B69" t="str">
        <f>B17</f>
        <v>SSHH ADM.</v>
      </c>
      <c r="C69">
        <v>1</v>
      </c>
    </row>
    <row r="70">
      <c r="B70" t="str">
        <f>B18</f>
        <v>COCINA PRIM SEC</v>
      </c>
      <c r="C70">
        <v>1</v>
      </c>
    </row>
    <row r="71">
      <c r="B71" t="str">
        <f>B19</f>
        <v>SSHH COCINA PRIM SEC</v>
      </c>
      <c r="C71">
        <v>1</v>
      </c>
    </row>
    <row r="72">
      <c r="B72" t="str">
        <f>B20</f>
        <v>COCINA INICIAL</v>
      </c>
      <c r="C72">
        <v>1</v>
      </c>
    </row>
    <row r="73">
      <c r="B73" t="str">
        <f>B21</f>
        <v>SSHH COCINA INICIAL</v>
      </c>
      <c r="C73">
        <v>1</v>
      </c>
    </row>
    <row r="74">
      <c r="B74" t="str">
        <f>B22</f>
        <v>DEPOSITOS*</v>
      </c>
      <c r="C74">
        <v>1</v>
      </c>
    </row>
    <row r="75">
      <c r="B75" t="str">
        <f>B23</f>
        <v>CANCHAS DEPORTIVAS**</v>
      </c>
      <c r="C75">
        <v>2</v>
      </c>
    </row>
    <row r="76">
      <c r="B76" t="str">
        <f>B24</f>
        <v>QUIOSCO</v>
      </c>
      <c r="C76">
        <v>1</v>
      </c>
    </row>
    <row r="77">
      <c r="B77" t="str">
        <f>B25</f>
        <v>TOPICO</v>
      </c>
      <c r="C77">
        <v>1</v>
      </c>
    </row>
    <row r="78">
      <c r="B78" t="str">
        <v>LACTARIO</v>
      </c>
      <c r="C78">
        <v>1</v>
      </c>
    </row>
  </sheetData>
  <mergeCells count="1">
    <mergeCell ref="B49:C49"/>
  </mergeCells>
  <pageMargins left="0.7" right="0.7" top="0.75" bottom="0.75" header="0.3" footer="0.3"/>
  <ignoredErrors>
    <ignoredError numberStoredAsText="1" sqref="B2:L7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2:E6"/>
  <sheetViews>
    <sheetView workbookViewId="0" rightToLeft="0"/>
  </sheetViews>
  <sheetData>
    <row r="2">
      <c r="C2" t="str">
        <v>PROYECTO BASE</v>
      </c>
      <c r="D2" t="str">
        <v>PROYECTO 2</v>
      </c>
      <c r="E2" t="str">
        <v>PROYECTO 3</v>
      </c>
    </row>
    <row r="3">
      <c r="B3" t="str">
        <v>COSTO INFRA.</v>
      </c>
      <c r="C3">
        <v>216825802</v>
      </c>
      <c r="D3">
        <v>210504623</v>
      </c>
      <c r="E3">
        <v>315626002</v>
      </c>
    </row>
    <row r="4">
      <c r="B4" t="str">
        <v>COSTO EQUIP.</v>
      </c>
      <c r="C4">
        <v>15025456</v>
      </c>
      <c r="D4">
        <v>14025444</v>
      </c>
      <c r="E4">
        <v>14020450</v>
      </c>
    </row>
    <row r="5">
      <c r="B5" t="str">
        <v>COSTO INSTA.</v>
      </c>
      <c r="C5">
        <v>16825000</v>
      </c>
      <c r="D5">
        <v>17030025</v>
      </c>
      <c r="E5">
        <v>16825000</v>
      </c>
    </row>
  </sheetData>
  <pageMargins left="0.7" right="0.7" top="0.75" bottom="0.75" header="0.3" footer="0.3"/>
  <ignoredErrors>
    <ignoredError numberStoredAsText="1" sqref="B2:E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42"/>
  <sheetViews>
    <sheetView workbookViewId="0" rightToLeft="0"/>
  </sheetViews>
  <sheetData>
    <row r="2">
      <c r="A2" t="str">
        <v>PRESUPUESTO PRUEBA</v>
      </c>
    </row>
    <row r="3">
      <c r="A3" t="str">
        <v>TOTAL</v>
      </c>
    </row>
    <row r="4">
      <c r="A4" t="str">
        <v>ITEM</v>
      </c>
      <c r="B4" t="str">
        <v>MODULO</v>
      </c>
      <c r="C4" t="str">
        <v>UND</v>
      </c>
      <c r="D4" t="str">
        <v>AREA</v>
      </c>
      <c r="E4" t="str">
        <v>AREA + 30% DE CIRCULACION Y MUROS</v>
      </c>
      <c r="F4" t="str">
        <v>COSTO UNITARIO DIRECTO</v>
      </c>
      <c r="G4" t="str">
        <v>COSTO POR UNI. DE MEDIDA</v>
      </c>
      <c r="H4" t="str">
        <v>COSTO POR UNI. DE MEDIDA SIN IGV</v>
      </c>
      <c r="I4" t="str">
        <v>COSTO POR UNI. DE MEDIDA SIN GG Y UTI</v>
      </c>
      <c r="J4" t="str">
        <v xml:space="preserve">COSTO POR MODULO </v>
      </c>
    </row>
    <row r="5">
      <c r="A5">
        <v>1</v>
      </c>
      <c r="B5" t="str">
        <v>MODULO  I</v>
      </c>
      <c r="D5">
        <f>SUM(D6:D16)</f>
        <v>2528.75</v>
      </c>
    </row>
    <row r="6">
      <c r="A6">
        <v>1.1</v>
      </c>
      <c r="B6" t="str">
        <v>AULAS CICLO I</v>
      </c>
      <c r="C6" t="str">
        <v>M2</v>
      </c>
      <c r="D6">
        <f>VLOOKUP(B6,DATA!$B$3:$J$27,9,FALSE)</f>
        <v>120</v>
      </c>
      <c r="E6">
        <f>D6*1.3</f>
        <v>156</v>
      </c>
      <c r="F6">
        <f>I6</f>
        <v>1848.29096045198</v>
      </c>
      <c r="G6">
        <f>DATA!$L$45</f>
        <v>2617.18</v>
      </c>
      <c r="H6">
        <f>G6/1.18</f>
        <v>2217.94915254237</v>
      </c>
      <c r="I6">
        <f>H6/1.2</f>
        <v>1848.29096045198</v>
      </c>
      <c r="J6">
        <f>D6*F6</f>
        <v>221794.915254237</v>
      </c>
    </row>
    <row r="7">
      <c r="A7">
        <v>1.2</v>
      </c>
      <c r="B7" t="str">
        <v>AULAS CICLO II</v>
      </c>
      <c r="C7" t="str">
        <v>M2</v>
      </c>
      <c r="D7">
        <f>VLOOKUP(B7,DATA!$B$3:$J$27,9,FALSE)</f>
        <v>240</v>
      </c>
      <c r="E7">
        <f>D7*1.3</f>
        <v>312</v>
      </c>
      <c r="F7">
        <f>I7</f>
        <v>1848.29096045198</v>
      </c>
      <c r="G7">
        <f>DATA!$L$45</f>
        <v>2617.18</v>
      </c>
      <c r="H7">
        <f>G7/1.18</f>
        <v>2217.94915254237</v>
      </c>
      <c r="I7">
        <f>H7/1.2</f>
        <v>1848.29096045198</v>
      </c>
      <c r="J7">
        <f>D7*F7</f>
        <v>443589.830508475</v>
      </c>
    </row>
    <row r="8">
      <c r="A8">
        <v>1.3</v>
      </c>
      <c r="B8" t="str">
        <v>AULA PSICOMOTRICIDAD</v>
      </c>
      <c r="C8" t="str">
        <v>M2</v>
      </c>
      <c r="D8">
        <f>VLOOKUP(B8,DATA!$B$3:$J$27,9,FALSE)</f>
        <v>50</v>
      </c>
      <c r="E8">
        <f>D8*1.3</f>
        <v>65</v>
      </c>
      <c r="F8">
        <f>I8</f>
        <v>1848.29096045198</v>
      </c>
      <c r="G8">
        <f>DATA!$L$45</f>
        <v>2617.18</v>
      </c>
      <c r="H8">
        <f>G8/1.18</f>
        <v>2217.94915254237</v>
      </c>
      <c r="I8">
        <f>H8/1.2</f>
        <v>1848.29096045198</v>
      </c>
      <c r="J8">
        <f>D8*F8</f>
        <v>92414.5480225989</v>
      </c>
    </row>
    <row r="9">
      <c r="A9">
        <v>1.4</v>
      </c>
      <c r="B9" t="str">
        <v>AULAS PRIMARIA</v>
      </c>
      <c r="C9" t="str">
        <v>M2</v>
      </c>
      <c r="D9">
        <f>VLOOKUP(B9,DATA!$B$3:$J$27,9,FALSE)</f>
        <v>480</v>
      </c>
      <c r="E9">
        <f>D9*1.3</f>
        <v>624</v>
      </c>
      <c r="F9">
        <f>I9</f>
        <v>1848.29096045198</v>
      </c>
      <c r="G9">
        <f>DATA!$L$45</f>
        <v>2617.18</v>
      </c>
      <c r="H9">
        <f>G9/1.18</f>
        <v>2217.94915254237</v>
      </c>
      <c r="I9">
        <f>H9/1.2</f>
        <v>1848.29096045198</v>
      </c>
      <c r="J9">
        <f>D9*F9</f>
        <v>887179.661016949</v>
      </c>
    </row>
    <row r="10">
      <c r="A10">
        <v>1.5</v>
      </c>
      <c r="B10" t="str">
        <v>AULAS SECUNDARIA</v>
      </c>
      <c r="C10" t="str">
        <v>M2</v>
      </c>
      <c r="D10">
        <f>VLOOKUP(B10,DATA!$B$3:$J$27,9,FALSE)</f>
        <v>600</v>
      </c>
      <c r="E10">
        <f>D10*1.3</f>
        <v>780</v>
      </c>
      <c r="F10">
        <f>I10</f>
        <v>1848.29096045198</v>
      </c>
      <c r="G10">
        <f>DATA!$L$45</f>
        <v>2617.18</v>
      </c>
      <c r="H10">
        <f>G10/1.18</f>
        <v>2217.94915254237</v>
      </c>
      <c r="I10">
        <f>H10/1.2</f>
        <v>1848.29096045198</v>
      </c>
      <c r="J10">
        <f>D10*F10</f>
        <v>1108974.57627119</v>
      </c>
    </row>
    <row r="11">
      <c r="A11">
        <v>1.6</v>
      </c>
      <c r="B11" t="str">
        <v>BIBLIOTECA</v>
      </c>
      <c r="C11" t="str">
        <v>M2</v>
      </c>
      <c r="D11">
        <f>VLOOKUP(B11,DATA!$B$3:$J$27,9,FALSE)</f>
        <v>93.75</v>
      </c>
      <c r="E11">
        <f>D11*1.3</f>
        <v>121.875</v>
      </c>
      <c r="F11">
        <f>I11</f>
        <v>1848.29096045198</v>
      </c>
      <c r="G11">
        <f>DATA!$L$45</f>
        <v>2617.18</v>
      </c>
      <c r="H11">
        <f>G11/1.18</f>
        <v>2217.94915254237</v>
      </c>
      <c r="I11">
        <f>H11/1.2</f>
        <v>1848.29096045198</v>
      </c>
      <c r="J11">
        <f>D11*F11</f>
        <v>173277.277542373</v>
      </c>
    </row>
    <row r="12">
      <c r="A12">
        <v>1.7</v>
      </c>
      <c r="B12" t="str">
        <v>INNOVACION</v>
      </c>
      <c r="C12" t="str">
        <v>M2</v>
      </c>
      <c r="D12">
        <f>VLOOKUP(B12,DATA!$B$3:$J$27,9,FALSE)</f>
        <v>270</v>
      </c>
      <c r="E12">
        <f>D12*1.3</f>
        <v>351</v>
      </c>
      <c r="F12">
        <f>I12</f>
        <v>1848.29096045198</v>
      </c>
      <c r="G12">
        <f>DATA!$L$45</f>
        <v>2617.18</v>
      </c>
      <c r="H12">
        <f>G12/1.18</f>
        <v>2217.94915254237</v>
      </c>
      <c r="I12">
        <f>H12/1.2</f>
        <v>1848.29096045198</v>
      </c>
      <c r="J12">
        <f>D12*F12</f>
        <v>499038.559322034</v>
      </c>
    </row>
    <row r="13">
      <c r="A13">
        <v>1.8</v>
      </c>
      <c r="B13" t="str">
        <v>TALLER CREATIVO</v>
      </c>
      <c r="C13" t="str">
        <v>M2</v>
      </c>
      <c r="D13">
        <f>VLOOKUP(B13,DATA!$B$3:$J$27,9,FALSE)</f>
        <v>180</v>
      </c>
      <c r="E13">
        <f>D13*1.3</f>
        <v>234</v>
      </c>
      <c r="F13">
        <f>I13</f>
        <v>1848.29096045198</v>
      </c>
      <c r="G13">
        <f>DATA!$L$45</f>
        <v>2617.18</v>
      </c>
      <c r="H13">
        <f>G13/1.18</f>
        <v>2217.94915254237</v>
      </c>
      <c r="I13">
        <f>H13/1.2</f>
        <v>1848.29096045198</v>
      </c>
      <c r="J13">
        <f>D13*F13</f>
        <v>332692.372881356</v>
      </c>
    </row>
    <row r="14">
      <c r="A14">
        <v>1.9</v>
      </c>
      <c r="B14" t="str">
        <v>TALLER EPT</v>
      </c>
      <c r="C14" t="str">
        <v>M2</v>
      </c>
      <c r="D14">
        <f>VLOOKUP(B14,DATA!$B$3:$J$27,9,FALSE)</f>
        <v>105</v>
      </c>
      <c r="E14">
        <f>D14*1.3</f>
        <v>136.5</v>
      </c>
      <c r="F14">
        <f>I14</f>
        <v>1848.29096045198</v>
      </c>
      <c r="G14">
        <f>DATA!$L$45</f>
        <v>2617.18</v>
      </c>
      <c r="H14">
        <f>G14/1.18</f>
        <v>2217.94915254237</v>
      </c>
      <c r="I14">
        <f>H14/1.2</f>
        <v>1848.29096045198</v>
      </c>
      <c r="J14">
        <f>D14*F14</f>
        <v>194070.550847458</v>
      </c>
    </row>
    <row r="15">
      <c r="A15">
        <v>1.1</v>
      </c>
      <c r="B15" t="str">
        <v>LABORATORIO</v>
      </c>
      <c r="C15" t="str">
        <v>M2</v>
      </c>
      <c r="D15">
        <f>VLOOKUP(B15,DATA!$B$3:$J$27,9,FALSE)</f>
        <v>90</v>
      </c>
      <c r="E15">
        <f>D15*1.3</f>
        <v>117</v>
      </c>
      <c r="F15">
        <f>I15</f>
        <v>1848.29096045198</v>
      </c>
      <c r="G15">
        <f>DATA!$L$45</f>
        <v>2617.18</v>
      </c>
      <c r="H15">
        <f>G15/1.18</f>
        <v>2217.94915254237</v>
      </c>
      <c r="I15">
        <f>H15/1.2</f>
        <v>1848.29096045198</v>
      </c>
      <c r="J15">
        <f>D15*F15</f>
        <v>166346.186440678</v>
      </c>
    </row>
    <row r="16">
      <c r="A16">
        <v>1.11</v>
      </c>
      <c r="B16" t="str">
        <v>SALA DE USOS MULTIPLES</v>
      </c>
      <c r="C16" t="str">
        <v>M2</v>
      </c>
      <c r="D16">
        <f>VLOOKUP(B16,DATA!$B$3:$J$27,9,FALSE)</f>
        <v>300</v>
      </c>
      <c r="E16">
        <f>D16*1.3</f>
        <v>390</v>
      </c>
      <c r="F16">
        <f>I16</f>
        <v>1848.29096045198</v>
      </c>
      <c r="G16">
        <f>DATA!$L$45</f>
        <v>2617.18</v>
      </c>
      <c r="H16">
        <f>G16/1.18</f>
        <v>2217.94915254237</v>
      </c>
      <c r="I16">
        <f>H16/1.2</f>
        <v>1848.29096045198</v>
      </c>
      <c r="J16">
        <f>D16*F16</f>
        <v>554487.288135593</v>
      </c>
    </row>
    <row r="17">
      <c r="A17">
        <v>2</v>
      </c>
      <c r="B17" t="str">
        <v>MODULO II</v>
      </c>
      <c r="D17">
        <f>SUM(D18:D30)</f>
        <v>1226.82</v>
      </c>
      <c r="F17">
        <f>I17</f>
        <v>0</v>
      </c>
      <c r="I17">
        <f>H17/1.2</f>
        <v>0</v>
      </c>
    </row>
    <row r="18">
      <c r="A18">
        <v>2.1</v>
      </c>
      <c r="B18" t="str">
        <v>DIRECCIÓN ADM.</v>
      </c>
      <c r="C18" t="str">
        <v>M2</v>
      </c>
      <c r="D18">
        <f>VLOOKUP(B18,DATA!$B$3:$J$27,9,FALSE)</f>
        <v>45.5</v>
      </c>
      <c r="E18">
        <f>D18*1.3</f>
        <v>59.15</v>
      </c>
      <c r="F18">
        <f>I18</f>
        <v>1848.29096045198</v>
      </c>
      <c r="G18">
        <f>DATA!$L$45</f>
        <v>2617.18</v>
      </c>
      <c r="H18">
        <f>G18/1.18</f>
        <v>2217.94915254237</v>
      </c>
      <c r="I18">
        <f>H18/1.2</f>
        <v>1848.29096045198</v>
      </c>
      <c r="J18">
        <f>D18*F18</f>
        <v>84097.238700565</v>
      </c>
    </row>
    <row r="19">
      <c r="A19">
        <v>2.2</v>
      </c>
      <c r="B19" t="str">
        <v>SALA DE REUNIONES</v>
      </c>
      <c r="C19" t="str">
        <v>M2</v>
      </c>
      <c r="D19">
        <f>VLOOKUP(B19,DATA!$B$3:$J$27,9,FALSE)</f>
        <v>42</v>
      </c>
      <c r="E19">
        <f>D19*1.3</f>
        <v>54.6</v>
      </c>
      <c r="F19">
        <f>I19</f>
        <v>1848.29096045198</v>
      </c>
      <c r="G19">
        <f>DATA!$L$45</f>
        <v>2617.18</v>
      </c>
      <c r="H19">
        <f>G19/1.18</f>
        <v>2217.94915254237</v>
      </c>
      <c r="I19">
        <f>H19/1.2</f>
        <v>1848.29096045198</v>
      </c>
      <c r="J19">
        <f>D19*F19</f>
        <v>77628.2203389831</v>
      </c>
    </row>
    <row r="20">
      <c r="A20">
        <v>2.3</v>
      </c>
      <c r="B20" t="str">
        <v>SALA DE PROFESORES</v>
      </c>
      <c r="C20" t="str">
        <v>M2</v>
      </c>
      <c r="D20">
        <f>VLOOKUP(B20,DATA!$B$3:$J$27,9,FALSE)</f>
        <v>80.5</v>
      </c>
      <c r="E20">
        <f>D20*1.3</f>
        <v>104.65</v>
      </c>
      <c r="F20">
        <f>I20</f>
        <v>1848.29096045198</v>
      </c>
      <c r="G20">
        <f>DATA!$L$45</f>
        <v>2617.18</v>
      </c>
      <c r="H20">
        <f>G20/1.18</f>
        <v>2217.94915254237</v>
      </c>
      <c r="I20">
        <f>H20/1.2</f>
        <v>1848.29096045198</v>
      </c>
      <c r="J20">
        <f>D20*F20</f>
        <v>148787.422316384</v>
      </c>
    </row>
    <row r="21">
      <c r="A21">
        <v>2.4</v>
      </c>
      <c r="B21" t="str">
        <v>SSHH ADM.</v>
      </c>
      <c r="C21" t="str">
        <v>M2</v>
      </c>
      <c r="D21">
        <f>VLOOKUP(B21,DATA!$B$3:$J$27,9,FALSE)</f>
        <v>27</v>
      </c>
      <c r="E21">
        <f>D21*1.3</f>
        <v>35.1</v>
      </c>
      <c r="F21">
        <f>I21</f>
        <v>1848.29096045198</v>
      </c>
      <c r="G21">
        <f>DATA!$L$45</f>
        <v>2617.18</v>
      </c>
      <c r="H21">
        <f>G21/1.18</f>
        <v>2217.94915254237</v>
      </c>
      <c r="I21">
        <f>H21/1.2</f>
        <v>1848.29096045198</v>
      </c>
      <c r="J21">
        <f>D21*F21</f>
        <v>49903.8559322034</v>
      </c>
    </row>
    <row r="22">
      <c r="A22">
        <v>2.5</v>
      </c>
      <c r="B22" t="str">
        <v>COCINA PRIM SEC</v>
      </c>
      <c r="C22" t="str">
        <v>M2</v>
      </c>
      <c r="D22">
        <f>VLOOKUP(B22,DATA!$B$3:$J$27,9,FALSE)</f>
        <v>33.3</v>
      </c>
      <c r="E22">
        <f>D22*1.3</f>
        <v>43.29</v>
      </c>
      <c r="F22">
        <f>I22</f>
        <v>1848.29096045198</v>
      </c>
      <c r="G22">
        <f>DATA!$L$45</f>
        <v>2617.18</v>
      </c>
      <c r="H22">
        <f>G22/1.18</f>
        <v>2217.94915254237</v>
      </c>
      <c r="I22">
        <f>H22/1.2</f>
        <v>1848.29096045198</v>
      </c>
      <c r="J22">
        <f>D22*F22</f>
        <v>61548.0889830509</v>
      </c>
    </row>
    <row r="23">
      <c r="A23">
        <v>2.6</v>
      </c>
      <c r="B23" t="str">
        <v>SSHH COCINA PRIM SEC</v>
      </c>
      <c r="C23" t="str">
        <v>M2</v>
      </c>
      <c r="D23">
        <f>VLOOKUP(B23,DATA!$B$3:$J$27,9,FALSE)</f>
        <v>5</v>
      </c>
      <c r="E23">
        <f>D23*1.3</f>
        <v>6.5</v>
      </c>
      <c r="F23">
        <f>I23</f>
        <v>1848.29096045198</v>
      </c>
      <c r="G23">
        <f>DATA!$L$45</f>
        <v>2617.18</v>
      </c>
      <c r="H23">
        <f>G23/1.18</f>
        <v>2217.94915254237</v>
      </c>
      <c r="I23">
        <f>H23/1.2</f>
        <v>1848.29096045198</v>
      </c>
      <c r="J23">
        <f>D23*F23</f>
        <v>9241.45480225989</v>
      </c>
    </row>
    <row r="24">
      <c r="A24">
        <v>2.7</v>
      </c>
      <c r="B24" t="str">
        <v>COCINA INICIAL</v>
      </c>
      <c r="C24" t="str">
        <v>M2</v>
      </c>
      <c r="D24">
        <f>VLOOKUP(B24,DATA!$B$3:$J$27,9,FALSE)</f>
        <v>14.2</v>
      </c>
      <c r="E24">
        <f>D24*1.3</f>
        <v>18.46</v>
      </c>
      <c r="F24">
        <f>I24</f>
        <v>1848.29096045198</v>
      </c>
      <c r="G24">
        <f>DATA!$L$45</f>
        <v>2617.18</v>
      </c>
      <c r="H24">
        <f>G24/1.18</f>
        <v>2217.94915254237</v>
      </c>
      <c r="I24">
        <f>H24/1.2</f>
        <v>1848.29096045198</v>
      </c>
      <c r="J24">
        <f>D24*F24</f>
        <v>26245.7316384181</v>
      </c>
    </row>
    <row r="25">
      <c r="A25">
        <v>2.8</v>
      </c>
      <c r="B25" t="str">
        <v>SSHH COCINA INICIAL</v>
      </c>
      <c r="C25" t="str">
        <v>M2</v>
      </c>
      <c r="D25">
        <f>VLOOKUP(B25,DATA!$B$3:$J$27,9,FALSE)</f>
        <v>5</v>
      </c>
      <c r="E25">
        <f>D25*1.3</f>
        <v>6.5</v>
      </c>
      <c r="F25">
        <f>I25</f>
        <v>1848.29096045198</v>
      </c>
      <c r="G25">
        <f>DATA!$L$45</f>
        <v>2617.18</v>
      </c>
      <c r="H25">
        <f>G25/1.18</f>
        <v>2217.94915254237</v>
      </c>
      <c r="I25">
        <f>H25/1.2</f>
        <v>1848.29096045198</v>
      </c>
      <c r="J25">
        <f>D25*F25</f>
        <v>9241.45480225989</v>
      </c>
    </row>
    <row r="26">
      <c r="A26">
        <v>2.9</v>
      </c>
      <c r="B26" t="str">
        <v>DEPOSITOS*</v>
      </c>
      <c r="C26" t="str">
        <v>M2</v>
      </c>
      <c r="D26">
        <f>VLOOKUP(B26,DATA!$B$3:$J$27,9,FALSE)</f>
        <v>112.5</v>
      </c>
      <c r="E26">
        <f>D26*1.3</f>
        <v>146.25</v>
      </c>
      <c r="F26">
        <f>I26</f>
        <v>1848.29096045198</v>
      </c>
      <c r="G26">
        <f>DATA!$L$45</f>
        <v>2617.18</v>
      </c>
      <c r="H26">
        <f>G26/1.18</f>
        <v>2217.94915254237</v>
      </c>
      <c r="I26">
        <f>H26/1.2</f>
        <v>1848.29096045198</v>
      </c>
      <c r="J26">
        <f>D26*F26</f>
        <v>207932.733050847</v>
      </c>
    </row>
    <row r="27">
      <c r="A27">
        <v>2.1</v>
      </c>
      <c r="B27" t="str">
        <v>CANCHAS DEPORTIVAS**</v>
      </c>
      <c r="C27" t="str">
        <v>M2</v>
      </c>
      <c r="D27">
        <f>VLOOKUP(B27,DATA!$B$3:$J$27,9,FALSE)</f>
        <v>840</v>
      </c>
      <c r="E27">
        <f>D27</f>
        <v>840</v>
      </c>
      <c r="F27">
        <f>I27</f>
        <v>1848.29096045198</v>
      </c>
      <c r="G27">
        <f>DATA!$L$45</f>
        <v>2617.18</v>
      </c>
      <c r="H27">
        <f>G27/1.18</f>
        <v>2217.94915254237</v>
      </c>
      <c r="I27">
        <f>H27/1.2</f>
        <v>1848.29096045198</v>
      </c>
      <c r="J27">
        <f>D27*F27</f>
        <v>1552564.40677966</v>
      </c>
    </row>
    <row r="28">
      <c r="A28">
        <v>2.11</v>
      </c>
      <c r="B28" t="str">
        <v>QUIOSCO</v>
      </c>
      <c r="C28" t="str">
        <v>M2</v>
      </c>
      <c r="D28">
        <f>VLOOKUP(B28,DATA!$B$3:$J$27,9,FALSE)</f>
        <v>5.32</v>
      </c>
      <c r="E28">
        <f>D28*1.3</f>
        <v>6.916</v>
      </c>
      <c r="F28">
        <f>I28</f>
        <v>1848.29096045198</v>
      </c>
      <c r="G28">
        <f>DATA!$L$45</f>
        <v>2617.18</v>
      </c>
      <c r="H28">
        <f>G28/1.18</f>
        <v>2217.94915254237</v>
      </c>
      <c r="I28">
        <f>H28/1.2</f>
        <v>1848.29096045198</v>
      </c>
      <c r="J28">
        <f>D28*F28</f>
        <v>9832.90790960452</v>
      </c>
    </row>
    <row r="29">
      <c r="A29">
        <v>2.12</v>
      </c>
      <c r="B29" t="str">
        <v>TOPICO</v>
      </c>
      <c r="C29" t="str">
        <v>M2</v>
      </c>
      <c r="D29">
        <f>VLOOKUP(B29,DATA!$B$3:$J$27,9,FALSE)</f>
        <v>9</v>
      </c>
      <c r="E29">
        <f>D29*1.3</f>
        <v>11.7</v>
      </c>
      <c r="F29">
        <f>I29</f>
        <v>1848.29096045198</v>
      </c>
      <c r="G29">
        <f>DATA!$L$45</f>
        <v>2617.18</v>
      </c>
      <c r="H29">
        <f>G29/1.18</f>
        <v>2217.94915254237</v>
      </c>
      <c r="I29">
        <f>H29/1.2</f>
        <v>1848.29096045198</v>
      </c>
      <c r="J29">
        <f>D29*F29</f>
        <v>16634.6186440678</v>
      </c>
    </row>
    <row r="30">
      <c r="A30">
        <v>2.13</v>
      </c>
      <c r="B30" t="str">
        <v>LACTARIO</v>
      </c>
      <c r="C30" t="str">
        <v>M2</v>
      </c>
      <c r="D30">
        <f>VLOOKUP(B30,DATA!$B$3:$J$27,9,FALSE)</f>
        <v>7.5</v>
      </c>
      <c r="E30">
        <f>D30*1.3</f>
        <v>9.75</v>
      </c>
      <c r="F30">
        <f>I30</f>
        <v>1848.29096045198</v>
      </c>
      <c r="G30">
        <f>DATA!$L$45</f>
        <v>2617.18</v>
      </c>
      <c r="H30">
        <f>G30/1.18</f>
        <v>2217.94915254237</v>
      </c>
      <c r="I30">
        <f>H30/1.2</f>
        <v>1848.29096045198</v>
      </c>
      <c r="J30">
        <f>D30*F30</f>
        <v>13862.1822033898</v>
      </c>
    </row>
    <row r="31">
      <c r="A31">
        <v>3</v>
      </c>
      <c r="B31" t="str">
        <v>CERCO E INGRESO</v>
      </c>
    </row>
    <row r="32">
      <c r="A32">
        <v>3.1</v>
      </c>
      <c r="B32" t="str">
        <v>PUERTA DE INGRESO - PRIMARIA</v>
      </c>
      <c r="C32" t="str">
        <v>UND</v>
      </c>
      <c r="D32">
        <v>1</v>
      </c>
      <c r="E32">
        <f>D32*1.3</f>
        <v>1.3</v>
      </c>
      <c r="F32">
        <f>I32</f>
        <v>11723.1638418079</v>
      </c>
      <c r="G32">
        <v>16600</v>
      </c>
      <c r="H32">
        <f>G32/1.18</f>
        <v>14067.7966101695</v>
      </c>
      <c r="I32">
        <f>H32/1.2</f>
        <v>11723.1638418079</v>
      </c>
      <c r="J32">
        <f>D32*F32</f>
        <v>11723.1638418079</v>
      </c>
    </row>
    <row r="33">
      <c r="A33">
        <v>3.2</v>
      </c>
      <c r="B33" t="str">
        <v>CERCO PERIMETRICO CARAVISTA</v>
      </c>
      <c r="C33" t="str">
        <v>ML</v>
      </c>
      <c r="D33">
        <f>DATA!B51*2+DATA!C51*2</f>
        <v>306</v>
      </c>
      <c r="E33">
        <f>D33*1.3</f>
        <v>397.8</v>
      </c>
      <c r="F33">
        <f>I33</f>
        <v>918.079096045198</v>
      </c>
      <c r="G33">
        <v>1300</v>
      </c>
      <c r="H33">
        <f>G33/1.18</f>
        <v>1101.69491525424</v>
      </c>
      <c r="I33">
        <f>H33/1.2</f>
        <v>918.079096045198</v>
      </c>
      <c r="J33">
        <f>D33*F33</f>
        <v>280932.203389831</v>
      </c>
    </row>
    <row r="34">
      <c r="A34">
        <v>4</v>
      </c>
      <c r="B34" t="str">
        <v>MUROS DE CONTENCION</v>
      </c>
    </row>
    <row r="35">
      <c r="A35">
        <v>4.1</v>
      </c>
      <c r="B35" t="str">
        <v>MUROS DE CONTENCION (H=1.90)</v>
      </c>
      <c r="C35" t="str">
        <v>ML</v>
      </c>
      <c r="D35">
        <v>40</v>
      </c>
      <c r="E35">
        <f>D35*1.3</f>
        <v>52</v>
      </c>
      <c r="F35">
        <f>I35</f>
        <v>1659.60451977401</v>
      </c>
      <c r="G35">
        <v>2350</v>
      </c>
      <c r="H35">
        <f>G35/1.18</f>
        <v>1991.52542372881</v>
      </c>
      <c r="I35">
        <f>H35/1.2</f>
        <v>1659.60451977401</v>
      </c>
      <c r="J35">
        <f>D35*F35</f>
        <v>66384.1807909605</v>
      </c>
    </row>
    <row r="36">
      <c r="A36">
        <v>4.2</v>
      </c>
      <c r="B36" t="str">
        <v>MUROS DE CONTENCION (H=3.00)</v>
      </c>
      <c r="C36" t="str">
        <v>ML</v>
      </c>
      <c r="D36">
        <v>40</v>
      </c>
      <c r="E36">
        <f>D36*1.3</f>
        <v>52</v>
      </c>
      <c r="F36">
        <f>I36</f>
        <v>2471.75141242938</v>
      </c>
      <c r="G36">
        <v>3500</v>
      </c>
      <c r="H36">
        <f>G36/1.18</f>
        <v>2966.10169491525</v>
      </c>
      <c r="I36">
        <f>H36/1.2</f>
        <v>2471.75141242938</v>
      </c>
      <c r="J36">
        <f>D36*F36</f>
        <v>98870.0564971752</v>
      </c>
    </row>
    <row r="37">
      <c r="B37" t="str">
        <v xml:space="preserve">COSTO DIRECTO </v>
      </c>
      <c r="J37">
        <f>SUM(J5:J36)/2</f>
        <v>3699647.8434322</v>
      </c>
    </row>
    <row r="38">
      <c r="B38" t="str">
        <v>GASTOS GENERALES (10%)</v>
      </c>
      <c r="J38">
        <f>J37*0.1</f>
        <v>369964.78434322</v>
      </c>
    </row>
    <row r="39">
      <c r="B39" t="str">
        <v>UTILIDAD (10%)</v>
      </c>
      <c r="J39">
        <f>J37*0.1</f>
        <v>369964.78434322</v>
      </c>
    </row>
    <row r="40">
      <c r="B40" t="str">
        <v>SUB TOTAL</v>
      </c>
      <c r="J40">
        <f>J37+J38+J39</f>
        <v>4439577.41211865</v>
      </c>
    </row>
    <row r="41">
      <c r="B41" t="str">
        <v>IGV</v>
      </c>
      <c r="J41">
        <f>J40*0.18</f>
        <v>799123.934181356</v>
      </c>
    </row>
    <row r="42">
      <c r="B42" t="str">
        <v>PRESUPUESTO TOTAL</v>
      </c>
      <c r="J42">
        <f>J40+J41</f>
        <v>5238701.3463</v>
      </c>
    </row>
  </sheetData>
  <mergeCells count="8">
    <mergeCell ref="A2:J2"/>
    <mergeCell ref="A3:J3"/>
    <mergeCell ref="B37:G37"/>
    <mergeCell ref="B38:G38"/>
    <mergeCell ref="B39:G39"/>
    <mergeCell ref="B40:G40"/>
    <mergeCell ref="B41:G41"/>
    <mergeCell ref="B42:G42"/>
  </mergeCells>
  <pageMargins left="0.7" right="0.7" top="0.75" bottom="0.75" header="0.3" footer="0.3"/>
  <ignoredErrors>
    <ignoredError numberStoredAsText="1" sqref="A1:J4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98"/>
  <sheetViews>
    <sheetView workbookViewId="0" rightToLeft="0"/>
  </sheetViews>
  <sheetData>
    <row r="1">
      <c r="A1" t="str">
        <f>'COSTO INFRA'!A2:J2</f>
        <v>PRESUPUESTO PRUEBA</v>
      </c>
    </row>
    <row r="5">
      <c r="A5" t="str">
        <v>ITEM</v>
      </c>
      <c r="B5" t="str">
        <v>DESCRIPCIÓN</v>
      </c>
      <c r="C5" t="str">
        <v>UND</v>
      </c>
      <c r="D5" t="str">
        <v>CANTIDAD</v>
      </c>
      <c r="E5" t="str">
        <v>VALOR UNITARIO</v>
      </c>
      <c r="F5" t="str">
        <v>VALOR MODULO</v>
      </c>
      <c r="G5" t="str">
        <v>VALOR TOTAL</v>
      </c>
    </row>
    <row r="6">
      <c r="B6" t="str">
        <v>EQUIPAMIENTO</v>
      </c>
    </row>
    <row r="7">
      <c r="A7" t="str">
        <v>MODULO I</v>
      </c>
      <c r="B7" t="str">
        <v>MODULO I: AULAS</v>
      </c>
      <c r="D7" t="str">
        <v/>
      </c>
    </row>
    <row r="8">
      <c r="A8">
        <v>1</v>
      </c>
      <c r="B8" t="str">
        <v>AULAS INICIAL</v>
      </c>
      <c r="F8">
        <f>SUM(F9:F24)</f>
        <v>28535</v>
      </c>
      <c r="G8">
        <f>F8*(DATA!C55+DATA!C56+DATA!C57)</f>
        <v>85605</v>
      </c>
    </row>
    <row r="9">
      <c r="B9" t="str">
        <v>PUPITRE UNIPERSONAL INDIVIDUAL PRIMARIA (MC-20)</v>
      </c>
      <c r="C9" t="str">
        <v>Und</v>
      </c>
      <c r="D9">
        <v>25</v>
      </c>
      <c r="E9">
        <v>380</v>
      </c>
      <c r="F9">
        <f>D9*E9</f>
        <v>9500</v>
      </c>
    </row>
    <row r="10">
      <c r="B10" t="str">
        <v>SILLAS UNIPERSONALES</v>
      </c>
      <c r="C10" t="str">
        <v>Und</v>
      </c>
      <c r="D10">
        <v>25</v>
      </c>
      <c r="E10">
        <v>95</v>
      </c>
      <c r="F10">
        <f>D10*E10</f>
        <v>2375</v>
      </c>
    </row>
    <row r="11">
      <c r="B11" t="str">
        <v>ESCRITORIO METALICO C0N 4 CAJONES (MC-3)</v>
      </c>
      <c r="C11" t="str">
        <v>Und</v>
      </c>
      <c r="D11">
        <v>1</v>
      </c>
      <c r="E11">
        <v>400</v>
      </c>
      <c r="F11">
        <f>D11*E11</f>
        <v>400</v>
      </c>
    </row>
    <row r="12">
      <c r="B12" t="str">
        <v>ARMARIO MELAMINE</v>
      </c>
      <c r="C12" t="str">
        <v>Und</v>
      </c>
      <c r="D12">
        <v>1</v>
      </c>
      <c r="E12">
        <v>750</v>
      </c>
      <c r="F12">
        <f>D12*E12</f>
        <v>750</v>
      </c>
    </row>
    <row r="13">
      <c r="B13" t="str">
        <v>PIZARRA ACRÍLICO 2.40M X1.20M</v>
      </c>
      <c r="C13" t="str">
        <v>Und</v>
      </c>
      <c r="D13">
        <v>1</v>
      </c>
      <c r="E13">
        <v>750</v>
      </c>
      <c r="F13">
        <f>D13*E13</f>
        <v>750</v>
      </c>
    </row>
    <row r="14">
      <c r="B14" t="str">
        <v>ARCHIVADOR METALICO DE 3 PUERTAS (MC-10)</v>
      </c>
      <c r="C14" t="str">
        <v>Und</v>
      </c>
      <c r="D14">
        <v>1</v>
      </c>
      <c r="E14">
        <f>550-160</f>
        <v>390</v>
      </c>
      <c r="F14">
        <f>D14*E14</f>
        <v>390</v>
      </c>
    </row>
    <row r="15">
      <c r="B15" t="str">
        <v>PAPELERA METALICA (MC-16)</v>
      </c>
      <c r="C15" t="str">
        <v>Und</v>
      </c>
      <c r="D15">
        <v>1</v>
      </c>
      <c r="E15">
        <v>30</v>
      </c>
      <c r="F15">
        <f>D15*E15</f>
        <v>30</v>
      </c>
    </row>
    <row r="16">
      <c r="B16" t="str">
        <v>EQUIPO LAPTOP (por aula)</v>
      </c>
      <c r="C16" t="str">
        <v>Und</v>
      </c>
      <c r="D16">
        <v>1</v>
      </c>
      <c r="E16">
        <v>5000</v>
      </c>
      <c r="F16">
        <f>D16*E16</f>
        <v>5000</v>
      </c>
    </row>
    <row r="17">
      <c r="B17" t="str">
        <v>ECRAN ESTANDAR (1.8 x 1.8) (por aula)</v>
      </c>
      <c r="C17" t="str">
        <v>Und</v>
      </c>
      <c r="D17">
        <v>1</v>
      </c>
      <c r="E17">
        <v>1500</v>
      </c>
      <c r="F17">
        <f>D17*E17</f>
        <v>1500</v>
      </c>
    </row>
    <row r="18">
      <c r="B18" t="str">
        <v>PROYECTOR MULTIMEDIA (por aula)</v>
      </c>
      <c r="C18" t="str">
        <v>Und</v>
      </c>
      <c r="D18">
        <v>1</v>
      </c>
      <c r="E18">
        <v>3247.5</v>
      </c>
      <c r="F18">
        <f>D18*E18</f>
        <v>3247.5</v>
      </c>
    </row>
    <row r="19">
      <c r="B19" t="str">
        <v>TELEVISOR 42" (por aula)</v>
      </c>
      <c r="C19" t="str">
        <v>Und</v>
      </c>
      <c r="D19">
        <v>1</v>
      </c>
      <c r="E19">
        <v>3250</v>
      </c>
      <c r="F19">
        <f>D19*E19</f>
        <v>3250</v>
      </c>
    </row>
    <row r="20">
      <c r="B20" t="str">
        <v>BLUE-RAY (por aula)</v>
      </c>
      <c r="C20" t="str">
        <v>Und</v>
      </c>
      <c r="D20">
        <v>1</v>
      </c>
      <c r="E20">
        <v>572.5</v>
      </c>
      <c r="F20">
        <f>D20*E20</f>
        <v>572.5</v>
      </c>
    </row>
    <row r="21">
      <c r="B21" t="str">
        <v>RACK PARA PROYECTOR MULTIMEDIA (por aula)</v>
      </c>
      <c r="C21" t="str">
        <v>Und</v>
      </c>
      <c r="D21">
        <v>1</v>
      </c>
      <c r="E21">
        <v>225</v>
      </c>
      <c r="F21">
        <f>D21*E21</f>
        <v>225</v>
      </c>
    </row>
    <row r="22">
      <c r="B22" t="str">
        <v>RACK PARA TV (por aula)</v>
      </c>
      <c r="C22" t="str">
        <v>Und</v>
      </c>
      <c r="D22">
        <v>1</v>
      </c>
      <c r="E22">
        <v>347.5</v>
      </c>
      <c r="F22">
        <f>D22*E22</f>
        <v>347.5</v>
      </c>
    </row>
    <row r="23">
      <c r="B23" t="str">
        <v>RACK PARA BLUE-RAY(por aula)</v>
      </c>
      <c r="C23" t="str">
        <v>Und</v>
      </c>
      <c r="D23">
        <v>1</v>
      </c>
      <c r="E23">
        <v>122.5</v>
      </c>
      <c r="F23">
        <f>D23*E23</f>
        <v>122.5</v>
      </c>
    </row>
    <row r="24">
      <c r="B24" t="str">
        <v xml:space="preserve">PANEL DE CORCHO (0.80x1.00) </v>
      </c>
      <c r="C24" t="str">
        <v>Und</v>
      </c>
      <c r="D24">
        <v>1</v>
      </c>
      <c r="E24">
        <v>75</v>
      </c>
      <c r="F24">
        <f>D24*E24</f>
        <v>75</v>
      </c>
    </row>
    <row r="25">
      <c r="A25">
        <v>1</v>
      </c>
      <c r="B25" t="str">
        <v>AULAS PRIMARIA SECUNDARIA</v>
      </c>
      <c r="F25">
        <f>SUM(F26:F41)</f>
        <v>30910</v>
      </c>
      <c r="G25">
        <f>F25*(DATA!C58+DATA!C59)</f>
        <v>556380</v>
      </c>
    </row>
    <row r="26">
      <c r="B26" t="str">
        <v>PUPITRE UNIPERSONAL INDIVIDUAL PRIMARIA (MC-20)</v>
      </c>
      <c r="C26" t="str">
        <v>Und</v>
      </c>
      <c r="D26">
        <v>30</v>
      </c>
      <c r="E26">
        <v>380</v>
      </c>
      <c r="F26">
        <f>D26*E26</f>
        <v>11400</v>
      </c>
    </row>
    <row r="27">
      <c r="B27" t="str">
        <v>SILLAS UNIPERSONALES</v>
      </c>
      <c r="C27" t="str">
        <v>Und</v>
      </c>
      <c r="D27">
        <v>30</v>
      </c>
      <c r="E27">
        <v>95</v>
      </c>
      <c r="F27">
        <f>D27*E27</f>
        <v>2850</v>
      </c>
    </row>
    <row r="28">
      <c r="B28" t="str">
        <v>ESCRITORIO METALICO C0N 4 CAJONES (MC-3)</v>
      </c>
      <c r="C28" t="str">
        <v>Und</v>
      </c>
      <c r="D28">
        <v>1</v>
      </c>
      <c r="E28">
        <v>400</v>
      </c>
      <c r="F28">
        <f>D28*E28</f>
        <v>400</v>
      </c>
    </row>
    <row r="29">
      <c r="B29" t="str">
        <v>ARMARIO MELAMINE</v>
      </c>
      <c r="C29" t="str">
        <v>Und</v>
      </c>
      <c r="D29">
        <v>1</v>
      </c>
      <c r="E29">
        <v>750</v>
      </c>
      <c r="F29">
        <f>D29*E29</f>
        <v>750</v>
      </c>
    </row>
    <row r="30">
      <c r="B30" t="str">
        <v>PIZARRA ACRÍLICO 2.40M X1.20M</v>
      </c>
      <c r="C30" t="str">
        <v>Und</v>
      </c>
      <c r="D30">
        <v>1</v>
      </c>
      <c r="E30">
        <v>750</v>
      </c>
      <c r="F30">
        <f>D30*E30</f>
        <v>750</v>
      </c>
    </row>
    <row r="31">
      <c r="B31" t="str">
        <v>ARCHIVADOR METALICO DE 3 PUERTAS (MC-10)</v>
      </c>
      <c r="C31" t="str">
        <v>Und</v>
      </c>
      <c r="D31">
        <v>1</v>
      </c>
      <c r="E31">
        <f>550-160</f>
        <v>390</v>
      </c>
      <c r="F31">
        <f>D31*E31</f>
        <v>390</v>
      </c>
    </row>
    <row r="32">
      <c r="B32" t="str">
        <v>PAPELERA METALICA (MC-16)</v>
      </c>
      <c r="C32" t="str">
        <v>Und</v>
      </c>
      <c r="D32">
        <v>1</v>
      </c>
      <c r="E32">
        <v>30</v>
      </c>
      <c r="F32">
        <f>D32*E32</f>
        <v>30</v>
      </c>
    </row>
    <row r="33">
      <c r="B33" t="str">
        <v>EQUIPO LAPTOP (por aula)</v>
      </c>
      <c r="C33" t="str">
        <v>Und</v>
      </c>
      <c r="D33">
        <v>1</v>
      </c>
      <c r="E33">
        <v>5000</v>
      </c>
      <c r="F33">
        <f>D33*E33</f>
        <v>5000</v>
      </c>
    </row>
    <row r="34">
      <c r="B34" t="str">
        <v>ECRAN ESTANDAR (1.8 x 1.8) (por aula)</v>
      </c>
      <c r="C34" t="str">
        <v>Und</v>
      </c>
      <c r="D34">
        <v>1</v>
      </c>
      <c r="E34">
        <v>1500</v>
      </c>
      <c r="F34">
        <f>D34*E34</f>
        <v>1500</v>
      </c>
    </row>
    <row r="35">
      <c r="B35" t="str">
        <v>PROYECTOR MULTIMEDIA (por aula)</v>
      </c>
      <c r="C35" t="str">
        <v>Und</v>
      </c>
      <c r="D35">
        <v>1</v>
      </c>
      <c r="E35">
        <v>3247.5</v>
      </c>
      <c r="F35">
        <f>D35*E35</f>
        <v>3247.5</v>
      </c>
    </row>
    <row r="36">
      <c r="B36" t="str">
        <v>TELEVISOR 42" (por aula)</v>
      </c>
      <c r="C36" t="str">
        <v>Und</v>
      </c>
      <c r="D36">
        <v>1</v>
      </c>
      <c r="E36">
        <v>3250</v>
      </c>
      <c r="F36">
        <f>D36*E36</f>
        <v>3250</v>
      </c>
    </row>
    <row r="37">
      <c r="B37" t="str">
        <v>BLUE-RAY (por aula)</v>
      </c>
      <c r="C37" t="str">
        <v>Und</v>
      </c>
      <c r="D37">
        <v>1</v>
      </c>
      <c r="E37">
        <v>572.5</v>
      </c>
      <c r="F37">
        <f>D37*E37</f>
        <v>572.5</v>
      </c>
    </row>
    <row r="38">
      <c r="B38" t="str">
        <v>RACK PARA PROYECTOR MULTIMEDIA (por aula)</v>
      </c>
      <c r="C38" t="str">
        <v>Und</v>
      </c>
      <c r="D38">
        <v>1</v>
      </c>
      <c r="E38">
        <v>225</v>
      </c>
      <c r="F38">
        <f>D38*E38</f>
        <v>225</v>
      </c>
    </row>
    <row r="39">
      <c r="B39" t="str">
        <v>RACK PARA TV (por aula)</v>
      </c>
      <c r="C39" t="str">
        <v>Und</v>
      </c>
      <c r="D39">
        <v>1</v>
      </c>
      <c r="E39">
        <v>347.5</v>
      </c>
      <c r="F39">
        <f>D39*E39</f>
        <v>347.5</v>
      </c>
    </row>
    <row r="40">
      <c r="B40" t="str">
        <v>RACK PARA BLUE-RAY(por aula)</v>
      </c>
      <c r="C40" t="str">
        <v>Und</v>
      </c>
      <c r="D40">
        <v>1</v>
      </c>
      <c r="E40">
        <v>122.5</v>
      </c>
      <c r="F40">
        <f>D40*E40</f>
        <v>122.5</v>
      </c>
    </row>
    <row r="41">
      <c r="B41" t="str">
        <v xml:space="preserve">PANEL DE CORCHO (0.80x1.00) </v>
      </c>
      <c r="C41" t="str">
        <v>Und</v>
      </c>
      <c r="D41">
        <v>1</v>
      </c>
      <c r="E41">
        <v>75</v>
      </c>
      <c r="F41">
        <f>D41*E41</f>
        <v>75</v>
      </c>
    </row>
    <row r="42">
      <c r="A42">
        <v>2</v>
      </c>
      <c r="B42" t="str">
        <v>SUM</v>
      </c>
      <c r="F42">
        <f>SUM(F43:F60)</f>
        <v>50985</v>
      </c>
      <c r="G42">
        <f>F42</f>
        <v>50985</v>
      </c>
    </row>
    <row r="43">
      <c r="B43" t="str">
        <v>ESCRITORIO METALICO C0N 4 CAJONES (MC-3)</v>
      </c>
      <c r="C43" t="str">
        <v>Und</v>
      </c>
      <c r="D43">
        <v>1</v>
      </c>
      <c r="E43">
        <f>E28</f>
        <v>400</v>
      </c>
      <c r="F43">
        <f>D43*E43</f>
        <v>400</v>
      </c>
    </row>
    <row r="44">
      <c r="B44" t="str">
        <v>MESA PARA 6 SILLAS (M-1)</v>
      </c>
      <c r="C44" t="str">
        <v>Und</v>
      </c>
      <c r="D44">
        <v>2</v>
      </c>
      <c r="E44">
        <v>480</v>
      </c>
      <c r="F44">
        <f>D44*E44</f>
        <v>960</v>
      </c>
    </row>
    <row r="45">
      <c r="B45" t="str">
        <v>SILLAS UNIPERSONALES</v>
      </c>
      <c r="C45" t="str">
        <v>Und</v>
      </c>
      <c r="D45">
        <v>60</v>
      </c>
      <c r="E45">
        <f>E27</f>
        <v>95</v>
      </c>
      <c r="F45">
        <f>D45*E45</f>
        <v>5700</v>
      </c>
    </row>
    <row r="46">
      <c r="B46" t="str">
        <v>SILLA METÁLICA APILABLE (MC-17)</v>
      </c>
      <c r="C46" t="str">
        <v>Und</v>
      </c>
      <c r="D46">
        <v>6</v>
      </c>
      <c r="E46">
        <f>E73</f>
        <v>65</v>
      </c>
      <c r="F46">
        <f>D46*E46</f>
        <v>390</v>
      </c>
    </row>
    <row r="47">
      <c r="B47" t="str">
        <v>ESTANTE MEDERA 1.20X0.35X1.50</v>
      </c>
      <c r="C47" t="str">
        <v>Und</v>
      </c>
      <c r="D47">
        <v>2</v>
      </c>
      <c r="E47">
        <v>775</v>
      </c>
      <c r="F47">
        <f>D47*E47</f>
        <v>1550</v>
      </c>
    </row>
    <row r="48">
      <c r="B48" t="str">
        <v>PUPITRE UNIPERSONAL INDIVIDUAL PRIMARIA (MC-20)</v>
      </c>
      <c r="C48" t="str">
        <v>jgo</v>
      </c>
      <c r="D48">
        <v>60</v>
      </c>
      <c r="E48">
        <f>E26</f>
        <v>380</v>
      </c>
      <c r="F48">
        <f>D48*E48</f>
        <v>22800</v>
      </c>
    </row>
    <row r="49">
      <c r="B49" t="str">
        <v>EQUIPO LAPTOP</v>
      </c>
      <c r="C49" t="str">
        <v>Und</v>
      </c>
      <c r="D49">
        <v>1</v>
      </c>
      <c r="E49">
        <f>E33</f>
        <v>5000</v>
      </c>
      <c r="F49">
        <f>D49*E49</f>
        <v>5000</v>
      </c>
    </row>
    <row r="50">
      <c r="B50" t="str">
        <v>EQUIPO DE SONIDO</v>
      </c>
      <c r="C50" t="str">
        <v>Und</v>
      </c>
      <c r="D50">
        <v>1</v>
      </c>
      <c r="E50">
        <v>3750</v>
      </c>
      <c r="F50">
        <f>D50*E50</f>
        <v>3750</v>
      </c>
    </row>
    <row r="51">
      <c r="B51" t="str">
        <v>ECRAN ESTANDAR (1.8 x 1.8)</v>
      </c>
      <c r="C51" t="str">
        <v>Und</v>
      </c>
      <c r="D51">
        <v>1</v>
      </c>
      <c r="E51">
        <v>1500</v>
      </c>
      <c r="F51">
        <f>D51*E51</f>
        <v>1500</v>
      </c>
    </row>
    <row r="52">
      <c r="B52" t="str">
        <f>B35</f>
        <v>PROYECTOR MULTIMEDIA (por aula)</v>
      </c>
      <c r="C52" t="str">
        <f>C35</f>
        <v>Und</v>
      </c>
      <c r="D52">
        <v>1</v>
      </c>
      <c r="E52">
        <f>E35</f>
        <v>3247.5</v>
      </c>
      <c r="F52">
        <f>D52*E52</f>
        <v>3247.5</v>
      </c>
    </row>
    <row r="53">
      <c r="B53" t="str">
        <v>TELEVISOR 42"</v>
      </c>
      <c r="C53" t="str">
        <v>Und</v>
      </c>
      <c r="D53">
        <v>1</v>
      </c>
      <c r="E53">
        <v>3250</v>
      </c>
      <c r="F53">
        <f>D53*E53</f>
        <v>3250</v>
      </c>
    </row>
    <row r="54">
      <c r="B54" t="str">
        <v xml:space="preserve">BLUE-RAY </v>
      </c>
      <c r="C54" t="str">
        <v>Und</v>
      </c>
      <c r="D54">
        <v>1</v>
      </c>
      <c r="E54">
        <v>572.5</v>
      </c>
      <c r="F54">
        <f>D54*E54</f>
        <v>572.5</v>
      </c>
    </row>
    <row r="55">
      <c r="B55" t="str">
        <v>RACK PARA PROYECTOR MULTIMEDIA (por aula)</v>
      </c>
      <c r="C55" t="str">
        <v>Und</v>
      </c>
      <c r="D55">
        <v>1</v>
      </c>
      <c r="E55">
        <v>225</v>
      </c>
      <c r="F55">
        <f>D55*E55</f>
        <v>225</v>
      </c>
    </row>
    <row r="56">
      <c r="B56" t="str">
        <v>RACK PARA TV (por aula)</v>
      </c>
      <c r="C56" t="str">
        <v>Und</v>
      </c>
      <c r="D56">
        <v>1</v>
      </c>
      <c r="E56">
        <v>347.5</v>
      </c>
      <c r="F56">
        <f>D56*E56</f>
        <v>347.5</v>
      </c>
    </row>
    <row r="57">
      <c r="B57" t="str">
        <v>RACK PARA BLUE-RAY(por aula)</v>
      </c>
      <c r="C57" t="str">
        <v>Und</v>
      </c>
      <c r="D57">
        <v>1</v>
      </c>
      <c r="E57">
        <v>122.5</v>
      </c>
      <c r="F57">
        <f>D57*E57</f>
        <v>122.5</v>
      </c>
    </row>
    <row r="58">
      <c r="B58" t="str">
        <v>ESTANTE DE MADERA 1.20X0.35X1.80</v>
      </c>
      <c r="C58" t="str">
        <v>Und</v>
      </c>
      <c r="D58">
        <v>1</v>
      </c>
      <c r="E58">
        <v>925</v>
      </c>
      <c r="F58">
        <f>D58*E58</f>
        <v>925</v>
      </c>
    </row>
    <row r="59">
      <c r="B59" t="str">
        <v>ATRIL</v>
      </c>
      <c r="C59" t="str">
        <v>Und</v>
      </c>
      <c r="D59">
        <v>1</v>
      </c>
      <c r="E59">
        <v>150</v>
      </c>
      <c r="F59">
        <f>D59*E59</f>
        <v>150</v>
      </c>
    </row>
    <row r="60">
      <c r="B60" t="str">
        <v>CORTINAS BLACK OUT DE 1.50mx1.50m</v>
      </c>
      <c r="C60" t="str">
        <v>Und</v>
      </c>
      <c r="D60">
        <v>1</v>
      </c>
      <c r="E60">
        <v>95</v>
      </c>
      <c r="F60">
        <f>D60*E60</f>
        <v>95</v>
      </c>
    </row>
    <row r="61">
      <c r="A61">
        <v>3</v>
      </c>
      <c r="B61" t="str">
        <v>COCINA</v>
      </c>
      <c r="F61">
        <f>SUM(F62:F69)</f>
        <v>3800</v>
      </c>
      <c r="G61">
        <f>F61*2</f>
        <v>7600</v>
      </c>
    </row>
    <row r="62">
      <c r="B62" t="str">
        <v>COCINA INDUSTRIAL CON BALON DE GAS</v>
      </c>
      <c r="C62" t="str">
        <v>Und</v>
      </c>
      <c r="D62">
        <v>1</v>
      </c>
      <c r="E62">
        <v>1500</v>
      </c>
      <c r="F62">
        <f>D62*E62</f>
        <v>1500</v>
      </c>
    </row>
    <row r="63">
      <c r="B63" t="str">
        <v>JUEGO DE MENAJERÍA</v>
      </c>
      <c r="C63" t="str">
        <v>jgo</v>
      </c>
      <c r="D63">
        <v>1</v>
      </c>
      <c r="E63">
        <v>150</v>
      </c>
      <c r="F63">
        <f>D63*E63</f>
        <v>150</v>
      </c>
    </row>
    <row r="64">
      <c r="B64" t="str">
        <v xml:space="preserve">JUEGO DE MESA CON 6 SILLAS </v>
      </c>
      <c r="C64" t="str">
        <v>jgo</v>
      </c>
      <c r="D64">
        <v>1</v>
      </c>
      <c r="E64">
        <v>700</v>
      </c>
      <c r="F64">
        <f>D64*E64</f>
        <v>700</v>
      </c>
    </row>
    <row r="65">
      <c r="B65" t="str">
        <v>MOSTRADOR DE MADERA PARA EMPOTRAR LAVADERO</v>
      </c>
      <c r="C65" t="str">
        <v>Und</v>
      </c>
      <c r="D65">
        <v>1</v>
      </c>
      <c r="E65">
        <v>300</v>
      </c>
      <c r="F65">
        <f>D65*E65</f>
        <v>300</v>
      </c>
    </row>
    <row r="66">
      <c r="B66" t="str">
        <v xml:space="preserve">LAVADERO INOXIDABLE DE 1 POZA / ESCURRIDERO </v>
      </c>
      <c r="C66" t="str">
        <v>Und</v>
      </c>
      <c r="D66">
        <v>2</v>
      </c>
      <c r="E66">
        <v>150</v>
      </c>
      <c r="F66">
        <f>D66*E66</f>
        <v>300</v>
      </c>
    </row>
    <row r="67">
      <c r="B67" t="str">
        <v>MOSTRADOR DE MADERA C/CAJONES DIV, INF. Y 2 PUERTAS</v>
      </c>
      <c r="C67" t="str">
        <v>Und</v>
      </c>
      <c r="D67">
        <v>1</v>
      </c>
      <c r="E67">
        <v>250</v>
      </c>
      <c r="F67">
        <f>D67*E67</f>
        <v>250</v>
      </c>
    </row>
    <row r="68">
      <c r="B68" t="str">
        <v>ARMARIO PARA COLGAR CON DIVISIONES Y PUERTAS</v>
      </c>
      <c r="C68" t="str">
        <v>Und</v>
      </c>
      <c r="D68">
        <v>1</v>
      </c>
      <c r="E68">
        <v>300</v>
      </c>
      <c r="F68">
        <f>D68*E68</f>
        <v>300</v>
      </c>
    </row>
    <row r="69">
      <c r="B69" t="str">
        <v>ARMARIO PARA UTENSILIOS</v>
      </c>
      <c r="C69" t="str">
        <v>Und</v>
      </c>
      <c r="D69">
        <v>2</v>
      </c>
      <c r="E69">
        <v>150</v>
      </c>
      <c r="F69">
        <f>D69*E69</f>
        <v>300</v>
      </c>
    </row>
    <row r="70">
      <c r="A70">
        <v>4</v>
      </c>
      <c r="B70" t="str">
        <v>DIRECCIÓN</v>
      </c>
      <c r="F70">
        <f>SUM(F71:F76)</f>
        <v>5540</v>
      </c>
      <c r="G70">
        <f>F70</f>
        <v>5540</v>
      </c>
    </row>
    <row r="71">
      <c r="B71" t="str">
        <v>SILLÓN GIRATORIO DIRECTOR</v>
      </c>
      <c r="C71" t="str">
        <v>Und</v>
      </c>
      <c r="D71">
        <v>1</v>
      </c>
      <c r="E71">
        <v>600</v>
      </c>
      <c r="F71">
        <f>D71*E71</f>
        <v>600</v>
      </c>
    </row>
    <row r="72">
      <c r="B72" t="str">
        <v>PAPELERA METALICA (MC-16)</v>
      </c>
      <c r="C72" t="str">
        <v>Und</v>
      </c>
      <c r="D72">
        <v>1</v>
      </c>
      <c r="E72">
        <v>30</v>
      </c>
      <c r="F72">
        <f>D72*E72</f>
        <v>30</v>
      </c>
    </row>
    <row r="73">
      <c r="B73" t="str">
        <v xml:space="preserve">SILLA INDIVIDUAL APILABLE </v>
      </c>
      <c r="C73" t="str">
        <v>Und</v>
      </c>
      <c r="D73">
        <v>4</v>
      </c>
      <c r="E73">
        <v>65</v>
      </c>
      <c r="F73">
        <f>D73*E73</f>
        <v>260</v>
      </c>
    </row>
    <row r="74">
      <c r="B74" t="str">
        <v>ESCRITORIO DEL DIRECTOR</v>
      </c>
      <c r="C74" t="str">
        <v>Und</v>
      </c>
      <c r="D74">
        <v>1</v>
      </c>
      <c r="E74">
        <v>1200</v>
      </c>
      <c r="F74">
        <f>D74*E74</f>
        <v>1200</v>
      </c>
    </row>
    <row r="75">
      <c r="B75" t="str">
        <v>ARCHIVADOR METÁLICOS</v>
      </c>
      <c r="C75" t="str">
        <v>Und</v>
      </c>
      <c r="D75">
        <v>1</v>
      </c>
      <c r="E75">
        <v>1700</v>
      </c>
      <c r="F75">
        <f>D75*E75</f>
        <v>1700</v>
      </c>
    </row>
    <row r="76">
      <c r="B76" t="str">
        <v>ARMARIO METALICO</v>
      </c>
      <c r="C76" t="str">
        <v>Und</v>
      </c>
      <c r="D76">
        <v>1</v>
      </c>
      <c r="E76">
        <v>1750</v>
      </c>
      <c r="F76">
        <f>D76*E76</f>
        <v>1750</v>
      </c>
    </row>
    <row r="77">
      <c r="A77">
        <v>5</v>
      </c>
      <c r="B77" t="str">
        <v>SALA DE PROFESORES*</v>
      </c>
      <c r="F77">
        <f>SUM(F78:F82)</f>
        <v>2430</v>
      </c>
      <c r="G77">
        <f>F77*2</f>
        <v>4860</v>
      </c>
    </row>
    <row r="78">
      <c r="B78" t="str">
        <v xml:space="preserve">JUEGO DE MESA CON 6 SILLAS </v>
      </c>
      <c r="C78" t="str">
        <v>jgo</v>
      </c>
      <c r="D78">
        <v>1</v>
      </c>
      <c r="E78">
        <v>700</v>
      </c>
      <c r="F78">
        <f>D78*E78</f>
        <v>700</v>
      </c>
    </row>
    <row r="79">
      <c r="B79" t="str">
        <v xml:space="preserve">PANEL DE CORCHO (0.80x1.00) </v>
      </c>
      <c r="C79" t="str">
        <v>Und</v>
      </c>
      <c r="D79">
        <v>1</v>
      </c>
      <c r="E79">
        <v>75</v>
      </c>
      <c r="F79">
        <f>D79*E79</f>
        <v>75</v>
      </c>
    </row>
    <row r="80">
      <c r="B80" t="str">
        <v xml:space="preserve">SILLA INDIVIDUAL APILABLE </v>
      </c>
      <c r="C80" t="str">
        <v>Und</v>
      </c>
      <c r="D80">
        <v>2</v>
      </c>
      <c r="E80">
        <v>65</v>
      </c>
      <c r="F80">
        <f>D80*E80</f>
        <v>130</v>
      </c>
    </row>
    <row r="81">
      <c r="B81" t="str">
        <v>PIZARRA ACRÍLICO 2.40M X1.20M</v>
      </c>
      <c r="C81" t="str">
        <v>Und</v>
      </c>
      <c r="D81">
        <v>1</v>
      </c>
      <c r="E81">
        <v>750</v>
      </c>
      <c r="F81">
        <f>D81*E81</f>
        <v>750</v>
      </c>
    </row>
    <row r="82">
      <c r="B82" t="str">
        <v>ESTANTE MEDERA 1.20X0.35X1.50</v>
      </c>
      <c r="C82" t="str">
        <v>Und</v>
      </c>
      <c r="D82">
        <v>1</v>
      </c>
      <c r="E82">
        <v>775</v>
      </c>
      <c r="F82">
        <f>D82*E82</f>
        <v>775</v>
      </c>
    </row>
    <row r="83">
      <c r="A83">
        <v>6</v>
      </c>
      <c r="B83" t="str">
        <v>AULA DE INNOVACION PEDAGOGICA*</v>
      </c>
      <c r="F83">
        <f>SUM(F84:F87)</f>
        <v>3225</v>
      </c>
      <c r="G83">
        <f>F83*(DATA!C61+DATA!C62+DATA!C63+DATA!C64)</f>
        <v>22575</v>
      </c>
    </row>
    <row r="84">
      <c r="B84" t="str">
        <v>MESA PARA EQUIPO DE COMPUTO</v>
      </c>
      <c r="C84" t="str">
        <v>Und</v>
      </c>
      <c r="D84">
        <v>20</v>
      </c>
      <c r="E84">
        <v>100</v>
      </c>
      <c r="F84">
        <f>D84*E84</f>
        <v>2000</v>
      </c>
    </row>
    <row r="85">
      <c r="B85" t="str">
        <v>ESCRITORIO METALICO C0N 4 CAJONES (MC-3)</v>
      </c>
      <c r="C85" t="str">
        <v>Und</v>
      </c>
      <c r="D85">
        <v>1</v>
      </c>
      <c r="E85">
        <v>400</v>
      </c>
      <c r="F85">
        <f>D85*E85</f>
        <v>400</v>
      </c>
    </row>
    <row r="86">
      <c r="B86" t="str">
        <v>PIZARRA ACRÍLICO 2.40M X1.20M</v>
      </c>
      <c r="C86" t="str">
        <v>Und</v>
      </c>
      <c r="D86">
        <v>1</v>
      </c>
      <c r="E86">
        <v>750</v>
      </c>
      <c r="F86">
        <f>D86*E86</f>
        <v>750</v>
      </c>
    </row>
    <row r="87">
      <c r="B87" t="str">
        <v xml:space="preserve">PANEL DE CORCHO (0.80x1.00) </v>
      </c>
      <c r="C87" t="str">
        <v>Und</v>
      </c>
      <c r="D87">
        <v>1</v>
      </c>
      <c r="E87">
        <v>75</v>
      </c>
      <c r="F87">
        <f>D87*E87</f>
        <v>75</v>
      </c>
    </row>
    <row r="88">
      <c r="A88">
        <v>7</v>
      </c>
      <c r="B88" t="str">
        <v>LOSA DEPORTIVA</v>
      </c>
      <c r="F88">
        <f>SUM(F89:F95)</f>
        <v>5131.86</v>
      </c>
      <c r="G88">
        <f>F88*2</f>
        <v>10263.72</v>
      </c>
    </row>
    <row r="89">
      <c r="B89" t="str">
        <v>ARCO CON TABLERO DE BASQUET</v>
      </c>
      <c r="C89" t="str">
        <v>Und</v>
      </c>
      <c r="D89">
        <v>2</v>
      </c>
      <c r="E89">
        <v>800</v>
      </c>
      <c r="F89">
        <f>D89*E89</f>
        <v>1600</v>
      </c>
    </row>
    <row r="90">
      <c r="B90" t="str">
        <v>ARCO DE FULTOL</v>
      </c>
      <c r="C90" t="str">
        <v>Und</v>
      </c>
      <c r="D90">
        <v>2</v>
      </c>
      <c r="E90">
        <v>1135.93</v>
      </c>
      <c r="F90">
        <f>D90*E90</f>
        <v>2271.86</v>
      </c>
    </row>
    <row r="91">
      <c r="B91" t="str">
        <v>SOPORTE PARA RED DE VOLEY</v>
      </c>
      <c r="C91" t="str">
        <v>jgo</v>
      </c>
      <c r="D91">
        <v>2</v>
      </c>
      <c r="E91">
        <v>210</v>
      </c>
      <c r="F91">
        <f>D91*E91</f>
        <v>420</v>
      </c>
    </row>
    <row r="92">
      <c r="B92" t="str">
        <v>HASTA DE BANDERA DE FIERRO GALVANIZADO, H=7.50M</v>
      </c>
      <c r="C92" t="str">
        <v>jgo</v>
      </c>
      <c r="D92">
        <v>2</v>
      </c>
      <c r="E92">
        <v>150</v>
      </c>
      <c r="F92">
        <f>D92*E92</f>
        <v>300</v>
      </c>
    </row>
    <row r="93">
      <c r="B93" t="str">
        <v>PELOTA DE VOLEY</v>
      </c>
      <c r="C93" t="str">
        <v>Und</v>
      </c>
      <c r="D93">
        <v>2</v>
      </c>
      <c r="E93">
        <v>60</v>
      </c>
      <c r="F93">
        <f>D93*E93</f>
        <v>120</v>
      </c>
    </row>
    <row r="94">
      <c r="B94" t="str">
        <v>PELOTA DE BASQUET</v>
      </c>
      <c r="C94" t="str">
        <v>Und</v>
      </c>
      <c r="D94">
        <v>2</v>
      </c>
      <c r="E94">
        <v>105</v>
      </c>
      <c r="F94">
        <f>D94*E94</f>
        <v>210</v>
      </c>
    </row>
    <row r="95">
      <c r="B95" t="str">
        <v>PELOTA DE FUTBOL</v>
      </c>
      <c r="C95" t="str">
        <v>Und</v>
      </c>
      <c r="D95">
        <v>2</v>
      </c>
      <c r="E95">
        <v>105</v>
      </c>
      <c r="F95">
        <f>D95*E95</f>
        <v>210</v>
      </c>
    </row>
    <row r="97">
      <c r="A97" t="str">
        <v>TOTAL DE COSTO POR EQUIPAMIENTO</v>
      </c>
      <c r="F97">
        <f>SUM(G7:G96)</f>
        <v>743808.72</v>
      </c>
    </row>
  </sheetData>
  <mergeCells count="3">
    <mergeCell ref="A1:F1"/>
    <mergeCell ref="B6:F6"/>
    <mergeCell ref="A97:E97"/>
  </mergeCells>
  <pageMargins left="0.7" right="0.7" top="0.75" bottom="0.75" header="0.3" footer="0.3"/>
  <ignoredErrors>
    <ignoredError numberStoredAsText="1" sqref="A1:H9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[192]INICIAL!H26</f>
        <v>120</v>
      </c>
      <c r="D4">
        <v>1</v>
      </c>
      <c r="E4">
        <f>IFERROR(C4/D4,0)</f>
        <v>40</v>
      </c>
      <c r="G4">
        <f>E4/H4</f>
        <v>5.55555555555556</v>
      </c>
      <c r="H4">
        <v>7.2</v>
      </c>
    </row>
    <row r="5">
      <c r="B5" t="str">
        <v>CICLO II</v>
      </c>
      <c r="C5">
        <f>[192]INICIAL!H27</f>
        <v>240</v>
      </c>
      <c r="D5">
        <v>1</v>
      </c>
      <c r="E5">
        <f>IFERROR(C5/D5,0)</f>
        <v>60</v>
      </c>
      <c r="G5">
        <f>E5/H5</f>
        <v>8.33333333333333</v>
      </c>
      <c r="H5">
        <v>7.2</v>
      </c>
    </row>
    <row r="6">
      <c r="B6" t="str">
        <v>BAÑOS</v>
      </c>
      <c r="C6">
        <f>[192]INICIAL!H28</f>
        <v>37.5</v>
      </c>
      <c r="D6">
        <v>1</v>
      </c>
      <c r="E6">
        <f>IFERROR(C6/D6,0)</f>
        <v>37.5</v>
      </c>
      <c r="G6">
        <f>E6/H6</f>
        <v>5.20833333333333</v>
      </c>
      <c r="H6">
        <v>7.2</v>
      </c>
    </row>
    <row r="7">
      <c r="B7" t="str">
        <v>DEPOSITOS</v>
      </c>
      <c r="C7">
        <f>[192]INICIAL!H29</f>
        <v>31.5</v>
      </c>
      <c r="D7">
        <v>1</v>
      </c>
      <c r="E7">
        <f>IFERROR(C7/D7,0)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[192]INICIAL!H36</f>
        <v>50</v>
      </c>
      <c r="D8">
        <v>1</v>
      </c>
      <c r="E8">
        <f>IFERROR(C8/D8,0)</f>
        <v>50</v>
      </c>
      <c r="G8">
        <f>E8/H8</f>
        <v>6.94444444444444</v>
      </c>
      <c r="H8">
        <v>7.2</v>
      </c>
    </row>
    <row r="9">
      <c r="B9" t="str">
        <v>SUM</v>
      </c>
      <c r="C9">
        <f>[192]INICIAL!H46</f>
        <v>132</v>
      </c>
      <c r="D9">
        <v>1</v>
      </c>
      <c r="E9">
        <f>IFERROR(C9/D9,0)</f>
        <v>132</v>
      </c>
    </row>
    <row r="10">
      <c r="B10" t="str">
        <v>DIRECCIÓN ADM.</v>
      </c>
      <c r="C10">
        <f>[192]INICIAL!H60</f>
        <v>13</v>
      </c>
      <c r="D10">
        <v>1</v>
      </c>
      <c r="E10">
        <f>IFERROR(C10/D10,0)</f>
        <v>13</v>
      </c>
      <c r="G10">
        <f>E10/H10</f>
        <v>1.73333333333333</v>
      </c>
      <c r="H10">
        <v>7.5</v>
      </c>
    </row>
    <row r="11">
      <c r="B11" t="str">
        <v>SALA DE REUNIONES</v>
      </c>
      <c r="C11">
        <f>[192]INICIAL!H64</f>
        <v>12</v>
      </c>
      <c r="D11">
        <v>1</v>
      </c>
      <c r="E11">
        <f>IFERROR(C11/D11,0)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[192]INICIAL!H66+[192]INICIAL!H67</f>
        <v>20.5</v>
      </c>
      <c r="D12">
        <v>1</v>
      </c>
      <c r="E12">
        <f>IFERROR(C12/D12,0)</f>
        <v>20.5</v>
      </c>
      <c r="G12">
        <f>E12/H12</f>
        <v>2.73333333333333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IFERROR(C13/D13,0)</f>
        <v>9</v>
      </c>
      <c r="G13">
        <f>E13/H13</f>
        <v>1.2</v>
      </c>
      <c r="H13">
        <v>7.5</v>
      </c>
    </row>
    <row r="14">
      <c r="B14" t="str">
        <v>COCINA</v>
      </c>
      <c r="C14">
        <f>[192]INICIAL!H78+[192]INICIAL!H85</f>
        <v>14.2</v>
      </c>
      <c r="D14">
        <v>1</v>
      </c>
      <c r="E14">
        <f>IFERROR(C14/D14,0)</f>
        <v>14.2</v>
      </c>
      <c r="G14">
        <f>E14/H14</f>
        <v>1.89333333333333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IFERROR(C15/D15,0)</f>
        <v>5</v>
      </c>
      <c r="G15">
        <f>E15/H15</f>
        <v>0.666666666666667</v>
      </c>
      <c r="H15">
        <v>7.5</v>
      </c>
    </row>
    <row r="16">
      <c r="B16" t="str">
        <v>TOPICO</v>
      </c>
      <c r="C16">
        <f>[192]INICIAL!F73</f>
        <v>9</v>
      </c>
      <c r="D16">
        <v>1</v>
      </c>
      <c r="E16">
        <f>IFERROR(C16/D16,0)</f>
        <v>9</v>
      </c>
      <c r="G16">
        <f>E16/H16</f>
        <v>1.2</v>
      </c>
      <c r="H16">
        <v>7.5</v>
      </c>
    </row>
    <row r="17">
      <c r="B17" t="str">
        <v>LACTARIO</v>
      </c>
      <c r="C17">
        <f>[192]INICIAL!F74</f>
        <v>7.5</v>
      </c>
      <c r="D17">
        <v>1</v>
      </c>
      <c r="E17">
        <f>IFERROR(C17/D17,0)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[192]PRIMARIA!H28</f>
        <v>480</v>
      </c>
      <c r="D26">
        <v>6</v>
      </c>
      <c r="E26">
        <f>IFERROR(C26/D26,0)</f>
        <v>60</v>
      </c>
      <c r="G26">
        <f>E26/H26</f>
        <v>8</v>
      </c>
      <c r="H26">
        <v>7.5</v>
      </c>
    </row>
    <row r="27">
      <c r="B27" t="str">
        <v>BAÑOS</v>
      </c>
      <c r="C27">
        <f>[192]PRIMARIA!F30</f>
        <v>37.5</v>
      </c>
      <c r="D27">
        <v>1</v>
      </c>
      <c r="E27">
        <f>IFERROR(C27/D27,0)</f>
        <v>37.5</v>
      </c>
      <c r="G27">
        <f>E27/H27</f>
        <v>5</v>
      </c>
      <c r="H27">
        <v>7.5</v>
      </c>
    </row>
    <row r="28">
      <c r="B28" t="str">
        <v>DEPOSITOS</v>
      </c>
      <c r="C28">
        <f>[192]PRIMARIA!H31</f>
        <v>36</v>
      </c>
      <c r="D28">
        <v>1</v>
      </c>
      <c r="E28">
        <f>IFERROR(C28/D28,0)</f>
        <v>36</v>
      </c>
      <c r="G28">
        <f>E28/H28</f>
        <v>4.8</v>
      </c>
      <c r="H28">
        <v>7.5</v>
      </c>
    </row>
    <row r="29">
      <c r="B29" t="str">
        <v>BIBLIOTECA</v>
      </c>
      <c r="C29">
        <f>[192]SECUNDARIA!H42</f>
        <v>93.75</v>
      </c>
      <c r="D29">
        <v>1</v>
      </c>
      <c r="E29">
        <f>IFERROR(C29/D29,0)</f>
        <v>93.75</v>
      </c>
      <c r="G29">
        <f>E29/H29</f>
        <v>12.5</v>
      </c>
      <c r="H29">
        <v>7.5</v>
      </c>
    </row>
    <row r="30">
      <c r="B30" t="str">
        <v>INNOVACION</v>
      </c>
      <c r="C30">
        <f>[192]PRIMARIA!H47</f>
        <v>90</v>
      </c>
      <c r="D30">
        <f>IFERROR(C30/[192]PRIMARIA!F46,0)</f>
        <v>1</v>
      </c>
      <c r="E30">
        <f>IFERROR(C30/D30,0)</f>
        <v>90</v>
      </c>
      <c r="G30">
        <f>E30/H30</f>
        <v>12</v>
      </c>
      <c r="H30">
        <v>7.5</v>
      </c>
    </row>
    <row r="31">
      <c r="B31" t="str">
        <v>TALLER CREATIVO</v>
      </c>
      <c r="C31">
        <f>[192]PRIMARIA!H55</f>
        <v>90</v>
      </c>
      <c r="D31">
        <f>IFERROR(C31/[192]PRIMARIA!F54,0)</f>
        <v>1</v>
      </c>
      <c r="E31">
        <f>IFERROR(C31/D31,0)</f>
        <v>90</v>
      </c>
      <c r="G31">
        <f>E31/H31</f>
        <v>12</v>
      </c>
      <c r="H31">
        <v>7.5</v>
      </c>
    </row>
    <row r="32">
      <c r="B32" t="str">
        <v>SUM</v>
      </c>
      <c r="C32">
        <f>[192]PRIMARIA!H64</f>
        <v>240</v>
      </c>
      <c r="D32">
        <v>1</v>
      </c>
      <c r="E32">
        <f>IFERROR(C32/D32,0)</f>
        <v>240</v>
      </c>
    </row>
    <row r="33">
      <c r="B33" t="str">
        <v>DIRECCIÓN ADM.</v>
      </c>
      <c r="C33">
        <f>[192]PRIMARIA!H70</f>
        <v>13</v>
      </c>
      <c r="D33">
        <v>1</v>
      </c>
      <c r="E33">
        <f>IFERROR(C33/D33,0)</f>
        <v>13</v>
      </c>
      <c r="G33">
        <f>E33/H33</f>
        <v>1.73333333333333</v>
      </c>
      <c r="H33">
        <v>7.5</v>
      </c>
    </row>
    <row r="34">
      <c r="B34" t="str">
        <v>SALA DE REUNIONES</v>
      </c>
      <c r="C34">
        <f>[192]PRIMARIA!H74</f>
        <v>13.5</v>
      </c>
      <c r="D34">
        <v>1</v>
      </c>
      <c r="E34">
        <f>IFERROR(C34/D34,0)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[192]PRIMARIA!H77</f>
        <v>30</v>
      </c>
      <c r="D35">
        <v>1</v>
      </c>
      <c r="E35">
        <f>IFERROR(C35/D35,0)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IFERROR(C36/D36,0)</f>
        <v>9</v>
      </c>
      <c r="G36">
        <f>E36/H36</f>
        <v>1.2</v>
      </c>
      <c r="H36">
        <v>7.5</v>
      </c>
    </row>
    <row r="37">
      <c r="B37" t="str">
        <v>COCINA</v>
      </c>
      <c r="C37">
        <f>[192]PRIMARIA!H84+[192]PRIMARIA!H91</f>
        <v>14.2</v>
      </c>
      <c r="D37">
        <v>1</v>
      </c>
      <c r="E37">
        <f>IFERROR(C37/D37,0)</f>
        <v>14.2</v>
      </c>
      <c r="G37">
        <f>E37/H37</f>
        <v>1.89333333333333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IFERROR(C38/D38,0)</f>
        <v>5</v>
      </c>
      <c r="G38">
        <f>E38/H38</f>
        <v>0.666666666666667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[192]SECUNDARIA!H32</f>
        <v>600</v>
      </c>
      <c r="D43">
        <v>8</v>
      </c>
      <c r="E43">
        <f>IFERROR(C43/D43,0)</f>
        <v>60</v>
      </c>
      <c r="G43">
        <f>E43/H43</f>
        <v>8</v>
      </c>
      <c r="H43">
        <v>7.5</v>
      </c>
    </row>
    <row r="44">
      <c r="B44" t="str">
        <v>BAÑOS</v>
      </c>
      <c r="C44">
        <f>[192]SECUNDARIA!F34</f>
        <v>37.5</v>
      </c>
      <c r="D44">
        <v>1</v>
      </c>
      <c r="E44">
        <f>IFERROR(C44/D44,0)</f>
        <v>37.5</v>
      </c>
      <c r="G44">
        <f>E44/H44</f>
        <v>5</v>
      </c>
      <c r="H44">
        <v>7.5</v>
      </c>
    </row>
    <row r="45">
      <c r="B45" t="str">
        <v>DEPOSITOS</v>
      </c>
      <c r="C45">
        <f>[192]SECUNDARIA!H35</f>
        <v>45</v>
      </c>
      <c r="D45">
        <v>1</v>
      </c>
      <c r="E45">
        <f>IFERROR(C45/D45,0)</f>
        <v>45</v>
      </c>
      <c r="G45">
        <f>E45/H45</f>
        <v>6</v>
      </c>
      <c r="H45">
        <v>7.5</v>
      </c>
    </row>
    <row r="46">
      <c r="B46" t="str">
        <v>BIBLIOTECA</v>
      </c>
      <c r="C46">
        <f>[192]SECUNDARIA!H42</f>
        <v>93.75</v>
      </c>
      <c r="D46">
        <v>1</v>
      </c>
      <c r="E46">
        <f>IFERROR(C46/D46,0)</f>
        <v>93.75</v>
      </c>
      <c r="G46">
        <f>E46/H46</f>
        <v>12.5</v>
      </c>
      <c r="H46">
        <v>7.5</v>
      </c>
    </row>
    <row r="47">
      <c r="B47" t="str">
        <v>INNOVACION</v>
      </c>
      <c r="C47">
        <f>[192]SECUNDARIA!H51</f>
        <v>180</v>
      </c>
      <c r="D47">
        <f>IFERROR(C47/[192]SECUNDARIA!F50,0)</f>
        <v>2</v>
      </c>
      <c r="E47">
        <f>IFERROR(C47/D47,0)</f>
        <v>90</v>
      </c>
      <c r="G47">
        <f>E47/H47</f>
        <v>12</v>
      </c>
      <c r="H47">
        <v>7.5</v>
      </c>
    </row>
    <row r="48">
      <c r="B48" t="str">
        <v>TALLER CREATIVO</v>
      </c>
      <c r="C48">
        <f>[192]SECUNDARIA!H59</f>
        <v>90</v>
      </c>
      <c r="D48">
        <f>IFERROR(C48/[192]SECUNDARIA!F58,0)</f>
        <v>1</v>
      </c>
      <c r="E48">
        <f>IFERROR(C48/D48,0)</f>
        <v>90</v>
      </c>
      <c r="G48">
        <f>E48/H48</f>
        <v>12</v>
      </c>
      <c r="H48">
        <v>7.5</v>
      </c>
    </row>
    <row r="49">
      <c r="B49" t="str">
        <v>TALLER EPT</v>
      </c>
      <c r="C49">
        <f>[192]SECUNDARIA!H66</f>
        <v>105</v>
      </c>
      <c r="D49">
        <f>IFERROR(C49/[192]SECUNDARIA!F65,0)</f>
        <v>1</v>
      </c>
      <c r="E49">
        <f>IFERROR(C49/D49,0)</f>
        <v>105</v>
      </c>
      <c r="G49">
        <f>E49/H49</f>
        <v>14</v>
      </c>
      <c r="H49">
        <v>7.5</v>
      </c>
    </row>
    <row r="50">
      <c r="B50" t="str">
        <v>LABORATORIO</v>
      </c>
      <c r="C50">
        <f>[192]SECUNDARIA!H73</f>
        <v>90</v>
      </c>
      <c r="D50">
        <f>IFERROR(C50/[192]SECUNDARIA!F72,0)</f>
        <v>1</v>
      </c>
      <c r="E50">
        <f>IFERROR(C50/D50,0)</f>
        <v>90</v>
      </c>
      <c r="G50">
        <f>E50/H50</f>
        <v>12</v>
      </c>
      <c r="H50">
        <v>7.5</v>
      </c>
    </row>
    <row r="51">
      <c r="B51" t="str">
        <v>SUM</v>
      </c>
      <c r="C51">
        <f>[192]SECUNDARIA!H82</f>
        <v>300</v>
      </c>
      <c r="D51">
        <v>1</v>
      </c>
      <c r="E51">
        <f>IFERROR(C51/D51,0)</f>
        <v>300</v>
      </c>
    </row>
    <row r="52">
      <c r="B52" t="str">
        <v>DIRECCIÓN ADM.</v>
      </c>
      <c r="C52">
        <f>[192]SECUNDARIA!H88</f>
        <v>19.5</v>
      </c>
      <c r="D52">
        <v>1</v>
      </c>
      <c r="E52">
        <f>IFERROR(C52/D52,0)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[192]SECUNDARIA!H92</f>
        <v>16.5</v>
      </c>
      <c r="D53">
        <v>1</v>
      </c>
      <c r="E53">
        <f>IFERROR(C53/D53,0)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[192]SECUNDARIA!H95</f>
        <v>30</v>
      </c>
      <c r="D54">
        <v>1</v>
      </c>
      <c r="E54">
        <f>IFERROR(C54/D54,0)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IFERROR(C55/D55,0)</f>
        <v>9</v>
      </c>
      <c r="G55">
        <f>E55/H55</f>
        <v>1.2</v>
      </c>
      <c r="H55">
        <v>7.5</v>
      </c>
    </row>
    <row r="56">
      <c r="B56" t="str">
        <v>COCINA</v>
      </c>
      <c r="C56">
        <f>[192]SECUNDARIA!H102+[192]SECUNDARIA!H109</f>
        <v>14.2</v>
      </c>
      <c r="D56">
        <v>1</v>
      </c>
      <c r="E56">
        <f>IFERROR(C56/D56,0)</f>
        <v>14.2</v>
      </c>
      <c r="G56">
        <f>E56/H56</f>
        <v>1.89333333333333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IFERROR(C57/D57,0)</f>
        <v>5</v>
      </c>
      <c r="G57">
        <f>E57/H57</f>
        <v>0.666666666666667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F63" t="str">
        <v>MT2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v>1</v>
      </c>
      <c r="E64">
        <f>E4</f>
        <v>40</v>
      </c>
      <c r="F64">
        <v>40</v>
      </c>
      <c r="G64">
        <f>E64/H64</f>
        <v>5.33333333333333</v>
      </c>
      <c r="H64">
        <v>7.5</v>
      </c>
    </row>
    <row r="65">
      <c r="B65" t="str">
        <v>AULAS CICLO II</v>
      </c>
      <c r="C65">
        <f>C5</f>
        <v>240</v>
      </c>
      <c r="D65">
        <v>1</v>
      </c>
      <c r="E65">
        <f>E5</f>
        <v>60</v>
      </c>
      <c r="F65"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v>0</v>
      </c>
      <c r="E66">
        <f>E8</f>
        <v>50</v>
      </c>
      <c r="F66">
        <v>0</v>
      </c>
      <c r="G66">
        <f>E66/H66</f>
        <v>6.66666666666667</v>
      </c>
      <c r="H66">
        <v>7.5</v>
      </c>
    </row>
    <row r="67">
      <c r="B67" t="str">
        <v>AULAS PRIMARIA</v>
      </c>
      <c r="C67">
        <f>C26</f>
        <v>480</v>
      </c>
      <c r="D67">
        <v>6</v>
      </c>
      <c r="E67">
        <f>E26</f>
        <v>60</v>
      </c>
      <c r="F67">
        <v>360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v>8</v>
      </c>
      <c r="E68">
        <f>E43</f>
        <v>60</v>
      </c>
      <c r="F68">
        <v>480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v>1</v>
      </c>
      <c r="E69">
        <f>E9</f>
        <v>132</v>
      </c>
      <c r="F69">
        <v>132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v>1</v>
      </c>
      <c r="E70">
        <f>E46</f>
        <v>93.75</v>
      </c>
      <c r="F70"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v>0</v>
      </c>
      <c r="E71">
        <f>E47</f>
        <v>90</v>
      </c>
      <c r="F71">
        <f>D71*E71</f>
        <v>270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v>1</v>
      </c>
      <c r="E72">
        <f>E48</f>
        <v>90</v>
      </c>
      <c r="F72">
        <f>D72*E72</f>
        <v>180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v>1</v>
      </c>
      <c r="E73">
        <f>E49</f>
        <v>105</v>
      </c>
      <c r="F73"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v>1</v>
      </c>
      <c r="E74">
        <f>CONSOLIDADO!E50</f>
        <v>90</v>
      </c>
      <c r="F74"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v>0</v>
      </c>
      <c r="E75">
        <f>IFERROR(C75/D75,0)</f>
        <v>300</v>
      </c>
      <c r="F75">
        <v>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IFERROR(C76/D76,0)</f>
        <v>45.5</v>
      </c>
      <c r="F76">
        <v>45.5</v>
      </c>
      <c r="G76">
        <f>E76/H76</f>
        <v>6.06666666666667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IFERROR(C77/D77,0)</f>
        <v>42</v>
      </c>
      <c r="F77"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IFERROR(C78/D78,0)</f>
        <v>80.5</v>
      </c>
      <c r="F78">
        <v>80.5</v>
      </c>
      <c r="G78">
        <f>E78/H78</f>
        <v>10.7333333333333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IFERROR(C79/D79,0)</f>
        <v>27</v>
      </c>
      <c r="F79">
        <v>27</v>
      </c>
      <c r="G79">
        <f>E79/H79</f>
        <v>3.6</v>
      </c>
      <c r="H79">
        <v>7.5</v>
      </c>
    </row>
    <row r="80">
      <c r="B80" t="str">
        <v>COCINA</v>
      </c>
      <c r="C80">
        <f>'[192]CAL. CONJUNTOS'!J6+'[192]CAL. CONJUNTOS'!J7</f>
        <v>33.3</v>
      </c>
      <c r="D80">
        <v>1</v>
      </c>
      <c r="E80">
        <f>C80</f>
        <v>33.3</v>
      </c>
      <c r="F80">
        <v>33.3</v>
      </c>
      <c r="G80">
        <f>E80/H80</f>
        <v>4.44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IFERROR(C81/D81,0)</f>
        <v>5</v>
      </c>
      <c r="F81">
        <v>5</v>
      </c>
      <c r="G81">
        <f>E81/H81</f>
        <v>0.666666666666667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IFERROR(C82/D82,0)</f>
        <v>112.5</v>
      </c>
      <c r="F82"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F83">
        <v>840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F84"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v>1</v>
      </c>
      <c r="E85">
        <f>E16</f>
        <v>9</v>
      </c>
      <c r="F85"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v>1</v>
      </c>
      <c r="E86">
        <f>E17</f>
        <v>7.5</v>
      </c>
      <c r="F86"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Hoja3</vt:lpstr>
      <vt:lpstr>COSTO INFRA</vt:lpstr>
      <vt:lpstr>COSTO EQUIPAMIENTO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2025-09-08T20:21:00Z</dcterms:created>
  <dcterms:modified xsi:type="dcterms:W3CDTF">2025-10-06T04:43:51Z</dcterms:modified>
  <cp:lastModifiedBy>IKARUS</cp:lastModifiedBy>
  <dc:creator>Rolando Alarcon Nole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1033-12.2.0.22549</vt:lpwstr>
  </property>
  <property fmtid="{D5CDD505-2E9C-101B-9397-08002B2CF9AE}" pid="3" name="ICV">
    <vt:lpwstr>738D631FF2EF40B18305D4D2912B8852_13</vt:lpwstr>
  </property>
</Properties>
</file>